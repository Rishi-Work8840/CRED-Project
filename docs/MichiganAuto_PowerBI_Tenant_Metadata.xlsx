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83385875-CA99-4429-8D47-4BB21F9FAB6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enant Summary" sheetId="1" r:id="rId1"/>
    <sheet name="Workspaces" sheetId="2" r:id="rId2"/>
    <sheet name="Reports" sheetId="3" r:id="rId3"/>
    <sheet name="Semantic Models" sheetId="4" r:id="rId4"/>
    <sheet name="Measures &amp; DAX" sheetId="5" r:id="rId5"/>
    <sheet name="Users &amp; Permissions" sheetId="6" r:id="rId6"/>
    <sheet name="Refresh History" sheetId="7" r:id="rId7"/>
    <sheet name="Data Lineage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3" i="4" l="1"/>
  <c r="U12" i="4"/>
  <c r="U11" i="4"/>
  <c r="U10" i="4"/>
  <c r="U9" i="4"/>
  <c r="U8" i="4"/>
  <c r="U7" i="4"/>
  <c r="U6" i="4"/>
  <c r="U5" i="4"/>
  <c r="U4" i="4"/>
  <c r="U3" i="4"/>
  <c r="U2" i="4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<sst xmlns="http://schemas.openxmlformats.org/spreadsheetml/2006/main" count="1739" uniqueCount="672">
  <si>
    <t>Michigan Auto — Power BI Tenant Metadata Summary</t>
  </si>
  <si>
    <t>Extracted: 2026-05-25 16:04  |  Tenant: michiganauto.onmicrosoft.com  |  Region: East US</t>
  </si>
  <si>
    <t>WORKSPACES</t>
  </si>
  <si>
    <t>REPORTS</t>
  </si>
  <si>
    <t>SEMANTIC MODELS</t>
  </si>
  <si>
    <t>MEASURES</t>
  </si>
  <si>
    <t>ACTIVE USERS</t>
  </si>
  <si>
    <t>TENANT CAPACITY</t>
  </si>
  <si>
    <t>P1</t>
  </si>
  <si>
    <t>8 Active Production</t>
  </si>
  <si>
    <t>18 Published</t>
  </si>
  <si>
    <t>10 Datasets</t>
  </si>
  <si>
    <t>Across all datasets</t>
  </si>
  <si>
    <t>30-day window</t>
  </si>
  <si>
    <t>Fabric Premium</t>
  </si>
  <si>
    <t xml:space="preserve">  REPORT INVENTORY BY WORKSPACE</t>
  </si>
  <si>
    <t>Workspace</t>
  </si>
  <si>
    <t>Reports</t>
  </si>
  <si>
    <t>Semantic Models</t>
  </si>
  <si>
    <t>Dashboards</t>
  </si>
  <si>
    <t>Dataflows</t>
  </si>
  <si>
    <t>Capacity</t>
  </si>
  <si>
    <t>Status</t>
  </si>
  <si>
    <t>Michigan Auto - FAR Reporting</t>
  </si>
  <si>
    <t>P1 Premium</t>
  </si>
  <si>
    <t>Active</t>
  </si>
  <si>
    <t>Michigan Auto - 8:15 KPIs</t>
  </si>
  <si>
    <t>Michigan Auto - Maintenance</t>
  </si>
  <si>
    <t>Michigan Auto - Finance</t>
  </si>
  <si>
    <t>Michigan Auto - Executive</t>
  </si>
  <si>
    <t>Michigan Auto - Data Science</t>
  </si>
  <si>
    <t>Michigan Auto - Production</t>
  </si>
  <si>
    <t>Michigan Auto - Dev/UAT</t>
  </si>
  <si>
    <t>A1 Dev</t>
  </si>
  <si>
    <t>Personal Workspaces</t>
  </si>
  <si>
    <t>Shared</t>
  </si>
  <si>
    <t>Michigan Auto - Archive</t>
  </si>
  <si>
    <t>Inactive</t>
  </si>
  <si>
    <t xml:space="preserve">  REFRESH HEALTH &amp; SENSITIVITY LABELS</t>
  </si>
  <si>
    <t>Dataset</t>
  </si>
  <si>
    <t>Refresh Status</t>
  </si>
  <si>
    <t>Last Refresh</t>
  </si>
  <si>
    <t>Frequency</t>
  </si>
  <si>
    <t>Avg Duration</t>
  </si>
  <si>
    <t>Certified</t>
  </si>
  <si>
    <t>Sensitivity</t>
  </si>
  <si>
    <t>FAR Semantic Model</t>
  </si>
  <si>
    <t>✓ Success</t>
  </si>
  <si>
    <t>2026-05-24 12:02</t>
  </si>
  <si>
    <t>Daily 06:00</t>
  </si>
  <si>
    <t>18 min</t>
  </si>
  <si>
    <t>Yes</t>
  </si>
  <si>
    <t>Confidential</t>
  </si>
  <si>
    <t>8:15 KPI Semantic Model</t>
  </si>
  <si>
    <t>2026-05-25 04:07</t>
  </si>
  <si>
    <t>Hourly</t>
  </si>
  <si>
    <t>3 min</t>
  </si>
  <si>
    <t>Internal</t>
  </si>
  <si>
    <t>Maintenance Semantic Model</t>
  </si>
  <si>
    <t>2026-05-25 04:51</t>
  </si>
  <si>
    <t>Daily 05:30</t>
  </si>
  <si>
    <t>22 min</t>
  </si>
  <si>
    <t>Predictive Model Dataset</t>
  </si>
  <si>
    <t>2026-05-23 08:22</t>
  </si>
  <si>
    <t>Daily 08:00</t>
  </si>
  <si>
    <t>45 min</t>
  </si>
  <si>
    <t>No</t>
  </si>
  <si>
    <t>HR Semantic Model</t>
  </si>
  <si>
    <t>2026-05-24 04:15</t>
  </si>
  <si>
    <t>Weekly</t>
  </si>
  <si>
    <t>31 min</t>
  </si>
  <si>
    <t>Supply Chain Dataset</t>
  </si>
  <si>
    <t>2026-05-21 20:17</t>
  </si>
  <si>
    <t>Daily 07:00</t>
  </si>
  <si>
    <t>27 min</t>
  </si>
  <si>
    <t>Energy Dataset</t>
  </si>
  <si>
    <t>✗ Failed</t>
  </si>
  <si>
    <t>2026-05-21 08:09</t>
  </si>
  <si>
    <t>Daily 06:30</t>
  </si>
  <si>
    <t>—</t>
  </si>
  <si>
    <t>Quality Dataset</t>
  </si>
  <si>
    <t>2026-05-20 10:08</t>
  </si>
  <si>
    <t>19 min</t>
  </si>
  <si>
    <t>Workspace ID</t>
  </si>
  <si>
    <t>Workspace Name</t>
  </si>
  <si>
    <t>Type</t>
  </si>
  <si>
    <t>State</t>
  </si>
  <si>
    <t>Capacity Name</t>
  </si>
  <si>
    <t>Capacity SKU</t>
  </si>
  <si>
    <t>Region</t>
  </si>
  <si>
    <t>Is On Dedicated Capacity</t>
  </si>
  <si>
    <t>Owner</t>
  </si>
  <si>
    <t>Created Date</t>
  </si>
  <si>
    <t>Last Modified</t>
  </si>
  <si>
    <t>Report Count</t>
  </si>
  <si>
    <t>Dataset Count</t>
  </si>
  <si>
    <t>Dashboard Count</t>
  </si>
  <si>
    <t>Dataflow Count</t>
  </si>
  <si>
    <t>Users Count</t>
  </si>
  <si>
    <t>Is Org Default</t>
  </si>
  <si>
    <t>WS-001</t>
  </si>
  <si>
    <t>MA-Fabric-P1</t>
  </si>
  <si>
    <t>East US</t>
  </si>
  <si>
    <t>admin@michiganaauto.com</t>
  </si>
  <si>
    <t>2025-07-01</t>
  </si>
  <si>
    <t>2026-05-21</t>
  </si>
  <si>
    <t>WS-002</t>
  </si>
  <si>
    <t>far.admin@michiganauto.com</t>
  </si>
  <si>
    <t>2026-05-12</t>
  </si>
  <si>
    <t>2026-05-20</t>
  </si>
  <si>
    <t>WS-003</t>
  </si>
  <si>
    <t>ops.lead@michiganauto.com</t>
  </si>
  <si>
    <t>2026-01-19</t>
  </si>
  <si>
    <t>2026-05-23</t>
  </si>
  <si>
    <t>WS-004</t>
  </si>
  <si>
    <t>maint.mgr@michiganauto.com</t>
  </si>
  <si>
    <t>2026-03-14</t>
  </si>
  <si>
    <t>2026-05-19</t>
  </si>
  <si>
    <t>WS-005</t>
  </si>
  <si>
    <t>ds.lead@michiganauto.com</t>
  </si>
  <si>
    <t>2026-04-02</t>
  </si>
  <si>
    <t>2026-05-14</t>
  </si>
  <si>
    <t>WS-006</t>
  </si>
  <si>
    <t>finance@michiganauto.com</t>
  </si>
  <si>
    <t>2025-05-10</t>
  </si>
  <si>
    <t>2026-05-22</t>
  </si>
  <si>
    <t>WS-007</t>
  </si>
  <si>
    <t>exec.admin@michiganauto.com</t>
  </si>
  <si>
    <t>2026-04-10</t>
  </si>
  <si>
    <t>2026-05-24</t>
  </si>
  <si>
    <t>WS-008</t>
  </si>
  <si>
    <t>Michigan Auto - Dev</t>
  </si>
  <si>
    <t>MA-Fabric-Dev</t>
  </si>
  <si>
    <t>A1</t>
  </si>
  <si>
    <t>dev.team@michiganauto.com</t>
  </si>
  <si>
    <t>2026-05-16</t>
  </si>
  <si>
    <t>WS-009</t>
  </si>
  <si>
    <t>Michigan Auto - UAT</t>
  </si>
  <si>
    <t>uat.team@michiganauto.com</t>
  </si>
  <si>
    <t>2026-05-01</t>
  </si>
  <si>
    <t>2026-05-18</t>
  </si>
  <si>
    <t>WS-010</t>
  </si>
  <si>
    <t>My Workspace</t>
  </si>
  <si>
    <t>PersonalGroup</t>
  </si>
  <si>
    <t>analyst1@michiganauto.com</t>
  </si>
  <si>
    <t>2025-09-28</t>
  </si>
  <si>
    <t>WS-011</t>
  </si>
  <si>
    <t>analyst2@michiganauto.com</t>
  </si>
  <si>
    <t>2025-11-02</t>
  </si>
  <si>
    <t>WS-012</t>
  </si>
  <si>
    <t>admin@michiganauto.com</t>
  </si>
  <si>
    <t>2025-10-11</t>
  </si>
  <si>
    <t>2025-10-07</t>
  </si>
  <si>
    <t>Report ID</t>
  </si>
  <si>
    <t>Report Name</t>
  </si>
  <si>
    <t>Dataset Name</t>
  </si>
  <si>
    <t>Report Type</t>
  </si>
  <si>
    <t>Pages</t>
  </si>
  <si>
    <t>Visuals Count</t>
  </si>
  <si>
    <t>Created By</t>
  </si>
  <si>
    <t>Last Refreshed</t>
  </si>
  <si>
    <t>Views (30d)</t>
  </si>
  <si>
    <t>Unique Users (30d)</t>
  </si>
  <si>
    <t>Shared Externally</t>
  </si>
  <si>
    <t>RLS Enabled</t>
  </si>
  <si>
    <t>Sensitivity Label</t>
  </si>
  <si>
    <t>Embed URL Present</t>
  </si>
  <si>
    <t>RPT-001</t>
  </si>
  <si>
    <t>FAR Pivot Report</t>
  </si>
  <si>
    <t>PowerBIReport</t>
  </si>
  <si>
    <t>john.smith@michiganauto.com</t>
  </si>
  <si>
    <t>2025-07-27</t>
  </si>
  <si>
    <t>Published</t>
  </si>
  <si>
    <t>RPT-002</t>
  </si>
  <si>
    <t>8:15 KPI Dashboard</t>
  </si>
  <si>
    <t>2026-03-04</t>
  </si>
  <si>
    <t>RPT-003</t>
  </si>
  <si>
    <t>Maintenance Work Orders</t>
  </si>
  <si>
    <t>2026-01-02</t>
  </si>
  <si>
    <t>RPT-004</t>
  </si>
  <si>
    <t>Machine Downtime Analysis</t>
  </si>
  <si>
    <t>2025-12-03</t>
  </si>
  <si>
    <t>RPT-005</t>
  </si>
  <si>
    <t>Executive KPI Summary</t>
  </si>
  <si>
    <t>2025-11-11</t>
  </si>
  <si>
    <t>Highly Confidential</t>
  </si>
  <si>
    <t>RPT-006</t>
  </si>
  <si>
    <t>Planned Maintenance Schedule</t>
  </si>
  <si>
    <t>2025-11-29</t>
  </si>
  <si>
    <t>RPT-007</t>
  </si>
  <si>
    <t>OEE Trend Report</t>
  </si>
  <si>
    <t>2025-11-19</t>
  </si>
  <si>
    <t>2026-05-17</t>
  </si>
  <si>
    <t>RPT-008</t>
  </si>
  <si>
    <t>Cost Centre P&amp;L</t>
  </si>
  <si>
    <t>2026-03-22</t>
  </si>
  <si>
    <t>RPT-009</t>
  </si>
  <si>
    <t>Headcount by Plant</t>
  </si>
  <si>
    <t>2025-08-15</t>
  </si>
  <si>
    <t>RPT-010</t>
  </si>
  <si>
    <t>Predictive Failure Scores</t>
  </si>
  <si>
    <t>2025-12-15</t>
  </si>
  <si>
    <t>RPT-011</t>
  </si>
  <si>
    <t>Supplier Quality Report</t>
  </si>
  <si>
    <t>2025-12-28</t>
  </si>
  <si>
    <t>2026-05-13</t>
  </si>
  <si>
    <t>RPT-012</t>
  </si>
  <si>
    <t>Production Line Throughput</t>
  </si>
  <si>
    <t>2026-05-07</t>
  </si>
  <si>
    <t>RPT-013</t>
  </si>
  <si>
    <t>FAR Monthly Variance</t>
  </si>
  <si>
    <t>2025-12-27</t>
  </si>
  <si>
    <t>RPT-014</t>
  </si>
  <si>
    <t>MTTR MTBF Analysis</t>
  </si>
  <si>
    <t>2026-04-29</t>
  </si>
  <si>
    <t>RPT-015</t>
  </si>
  <si>
    <t>Energy Consumption KPIs</t>
  </si>
  <si>
    <t>2026-01-28</t>
  </si>
  <si>
    <t>2026-05-04</t>
  </si>
  <si>
    <t>Draft</t>
  </si>
  <si>
    <t>RPT-016</t>
  </si>
  <si>
    <t>Scrap &amp; Rework Report</t>
  </si>
  <si>
    <t>2026-04-13</t>
  </si>
  <si>
    <t>RPT-017</t>
  </si>
  <si>
    <t>Asset Register</t>
  </si>
  <si>
    <t>2026-02-06</t>
  </si>
  <si>
    <t>2026-04-12</t>
  </si>
  <si>
    <t>RPT-018</t>
  </si>
  <si>
    <t>Shift Handover Summary</t>
  </si>
  <si>
    <t>2026-02-24</t>
  </si>
  <si>
    <t>RPT-019</t>
  </si>
  <si>
    <t>Safety Incidents Report</t>
  </si>
  <si>
    <t>Safety Dataset</t>
  </si>
  <si>
    <t>hse.mgr@michiganauto.com</t>
  </si>
  <si>
    <t>2025-08-24</t>
  </si>
  <si>
    <t>RPT-020</t>
  </si>
  <si>
    <t>Inventory &amp; Parts Tracker</t>
  </si>
  <si>
    <t>Dataset ID</t>
  </si>
  <si>
    <t>Storage Mode</t>
  </si>
  <si>
    <t>Data Source Type</t>
  </si>
  <si>
    <t>Data Source Server</t>
  </si>
  <si>
    <t>Data Source DB</t>
  </si>
  <si>
    <t>Table Count</t>
  </si>
  <si>
    <t>Measure Count</t>
  </si>
  <si>
    <t>Calculated Column Count</t>
  </si>
  <si>
    <t>Relationship Count</t>
  </si>
  <si>
    <t>RLS Roles</t>
  </si>
  <si>
    <t>Refresh Frequency</t>
  </si>
  <si>
    <t>Refresh Duration (min)</t>
  </si>
  <si>
    <t>Is Certified</t>
  </si>
  <si>
    <t>Is Promoted</t>
  </si>
  <si>
    <t>Gateway Required</t>
  </si>
  <si>
    <t>Gateway Name</t>
  </si>
  <si>
    <t>Dataset Size (MB)</t>
  </si>
  <si>
    <t>DS-001</t>
  </si>
  <si>
    <t>Import</t>
  </si>
  <si>
    <t>SQL Server</t>
  </si>
  <si>
    <t>fab-sql-prod-01.michiganauto.com</t>
  </si>
  <si>
    <t>MA_FAR_Gold</t>
  </si>
  <si>
    <t>2026-01-06</t>
  </si>
  <si>
    <t>2026-05-24 18:44</t>
  </si>
  <si>
    <t>Success</t>
  </si>
  <si>
    <t>MA-Gateway-Prod</t>
  </si>
  <si>
    <t>DS-002</t>
  </si>
  <si>
    <t>DirectQuery</t>
  </si>
  <si>
    <t>Fabric Warehouse</t>
  </si>
  <si>
    <t>fab-wh-prod.michiganauto.com</t>
  </si>
  <si>
    <t>MA_8_15_Gold</t>
  </si>
  <si>
    <t>2026-04-26</t>
  </si>
  <si>
    <t>2026-05-25 14:13</t>
  </si>
  <si>
    <t>DS-003</t>
  </si>
  <si>
    <t>MA_Maint_Gold</t>
  </si>
  <si>
    <t>2025-12-14</t>
  </si>
  <si>
    <t>2026-05-24 08:00</t>
  </si>
  <si>
    <t>DS-004</t>
  </si>
  <si>
    <t>Azure ML</t>
  </si>
  <si>
    <t>aml-michiganauto.workspace.ml.azure.com</t>
  </si>
  <si>
    <t>predictions_output</t>
  </si>
  <si>
    <t>2026-03-31</t>
  </si>
  <si>
    <t>2026-05-22 17:44</t>
  </si>
  <si>
    <t>DS-005</t>
  </si>
  <si>
    <t>MA_HR_Gold</t>
  </si>
  <si>
    <t>2026-02-05</t>
  </si>
  <si>
    <t>2026-05-18 03:08</t>
  </si>
  <si>
    <t>Weekly Mon</t>
  </si>
  <si>
    <t>DS-006</t>
  </si>
  <si>
    <t>MA_SC_Gold</t>
  </si>
  <si>
    <t>2025-10-02</t>
  </si>
  <si>
    <t>2026-05-22 11:48</t>
  </si>
  <si>
    <t>DS-007</t>
  </si>
  <si>
    <t>REST API</t>
  </si>
  <si>
    <t>api.energymgmt.michiganauto.com</t>
  </si>
  <si>
    <t>energy_api</t>
  </si>
  <si>
    <t>2026-04-19</t>
  </si>
  <si>
    <t>2026-05-17 16:29</t>
  </si>
  <si>
    <t>Failed</t>
  </si>
  <si>
    <t>DS-008</t>
  </si>
  <si>
    <t>MA_QA_Gold</t>
  </si>
  <si>
    <t>2026-01-07</t>
  </si>
  <si>
    <t>2026-05-16 16:27</t>
  </si>
  <si>
    <t>DS-009</t>
  </si>
  <si>
    <t>SharePoint</t>
  </si>
  <si>
    <t>michiganauto.sharepoint.com</t>
  </si>
  <si>
    <t>Safety_Lists</t>
  </si>
  <si>
    <t>2025-10-17</t>
  </si>
  <si>
    <t>2026-05-16 03:41</t>
  </si>
  <si>
    <t>DS-010</t>
  </si>
  <si>
    <t>Executive Summary Dataset</t>
  </si>
  <si>
    <t>MA_Exec_Gold</t>
  </si>
  <si>
    <t>2026-02-01</t>
  </si>
  <si>
    <t>2026-05-24 23:33</t>
  </si>
  <si>
    <t>Daily 05:00</t>
  </si>
  <si>
    <t>DS-011</t>
  </si>
  <si>
    <t>Dev - FAR Test</t>
  </si>
  <si>
    <t>fab-sql-dev-01.michiganauto.com</t>
  </si>
  <si>
    <t>MA_FAR_Dev</t>
  </si>
  <si>
    <t>2026-05-25 12:55</t>
  </si>
  <si>
    <t>Manual</t>
  </si>
  <si>
    <t>MA-Gateway-Dev</t>
  </si>
  <si>
    <t>DS-012</t>
  </si>
  <si>
    <t>Dev - 8:15 Test</t>
  </si>
  <si>
    <t>fab-wh-dev.michiganauto.com</t>
  </si>
  <si>
    <t>MA_8_15_Dev</t>
  </si>
  <si>
    <t>2026-05-18 21:00</t>
  </si>
  <si>
    <t>Measure ID</t>
  </si>
  <si>
    <t>Measure Name</t>
  </si>
  <si>
    <t>Table</t>
  </si>
  <si>
    <t>DAX Expression</t>
  </si>
  <si>
    <t>Format String</t>
  </si>
  <si>
    <t>Data Type</t>
  </si>
  <si>
    <t>Is Hidden</t>
  </si>
  <si>
    <t>Description</t>
  </si>
  <si>
    <t>Category</t>
  </si>
  <si>
    <t>Complexity</t>
  </si>
  <si>
    <t>Referenced By (Reports)</t>
  </si>
  <si>
    <t>M-001</t>
  </si>
  <si>
    <t>Total FAR Spend</t>
  </si>
  <si>
    <t>Fact_FAR</t>
  </si>
  <si>
    <t>SUM(Fact_FAR[Amount])</t>
  </si>
  <si>
    <t>$#,##0.00</t>
  </si>
  <si>
    <t>Currency</t>
  </si>
  <si>
    <t>Total financial accountability report spend</t>
  </si>
  <si>
    <t>Finance</t>
  </si>
  <si>
    <t>Simple</t>
  </si>
  <si>
    <t>M-002</t>
  </si>
  <si>
    <t>FAR Variance %</t>
  </si>
  <si>
    <t>DIVIDE([Actual Spend]-[Budget Spend],[Budget Spend],0)</t>
  </si>
  <si>
    <t>0.0%</t>
  </si>
  <si>
    <t>Decimal</t>
  </si>
  <si>
    <t>Variance between actual and budget spend</t>
  </si>
  <si>
    <t>M-003</t>
  </si>
  <si>
    <t>YTD FAR Spend</t>
  </si>
  <si>
    <t>CALCULATE([Total FAR Spend], DATESYTD(Dim_Date[Date]))</t>
  </si>
  <si>
    <t>Year-to-date FAR spend</t>
  </si>
  <si>
    <t>2026-05-05</t>
  </si>
  <si>
    <t>Medium</t>
  </si>
  <si>
    <t>M-004</t>
  </si>
  <si>
    <t>Prior YTD FAR Spend</t>
  </si>
  <si>
    <t>CALCULATE([YTD FAR Spend], SAMEPERIODLASTYEAR(Dim_Date[Date]))</t>
  </si>
  <si>
    <t>Same period last year FAR spend</t>
  </si>
  <si>
    <t>2026-05-10</t>
  </si>
  <si>
    <t>M-005</t>
  </si>
  <si>
    <t>OEE %</t>
  </si>
  <si>
    <t>Fact_Production</t>
  </si>
  <si>
    <t>[Availability %] * [Performance %] * [Quality %]</t>
  </si>
  <si>
    <t>Overall Equipment Effectiveness</t>
  </si>
  <si>
    <t>Production</t>
  </si>
  <si>
    <t>M-006</t>
  </si>
  <si>
    <t>Availability %</t>
  </si>
  <si>
    <t>DIVIDE([Run Time], [Planned Production Time], 0)</t>
  </si>
  <si>
    <t>Machine availability percentage</t>
  </si>
  <si>
    <t>M-007</t>
  </si>
  <si>
    <t>Downtime Minutes</t>
  </si>
  <si>
    <t>Fact_Downtime</t>
  </si>
  <si>
    <t>SUM(Fact_Downtime[Duration_Minutes])</t>
  </si>
  <si>
    <t>#,##0</t>
  </si>
  <si>
    <t>Integer</t>
  </si>
  <si>
    <t>Total unplanned downtime in minutes</t>
  </si>
  <si>
    <t>M-008</t>
  </si>
  <si>
    <t>MTTR (Hours)</t>
  </si>
  <si>
    <t>Fact_WorkOrders</t>
  </si>
  <si>
    <t>DIVIDE(SUM(Fact_WorkOrders[Repair_Duration_Hrs]), COUNTROWS(Fact_WorkOrders), 0)</t>
  </si>
  <si>
    <t>0.00</t>
  </si>
  <si>
    <t>Mean Time To Repair in hours</t>
  </si>
  <si>
    <t>Maintenance</t>
  </si>
  <si>
    <t>M-009</t>
  </si>
  <si>
    <t>MTBF (Days)</t>
  </si>
  <si>
    <t>DIVIDE(SUM(Fact_WorkOrders[Operating_Days]), COUNTROWS(Fact_WorkOrders), 0)</t>
  </si>
  <si>
    <t>0.0</t>
  </si>
  <si>
    <t>Mean Time Between Failures in days</t>
  </si>
  <si>
    <t>M-010</t>
  </si>
  <si>
    <t>Work Orders Open</t>
  </si>
  <si>
    <t>CALCULATE(COUNTROWS(Fact_WorkOrders), Fact_WorkOrders[Status]="Open")</t>
  </si>
  <si>
    <t>Count of open work orders</t>
  </si>
  <si>
    <t>M-011</t>
  </si>
  <si>
    <t>Planned vs Actual Variance</t>
  </si>
  <si>
    <t>DIVIDE([Actual Cost]-[Planned Cost],[Planned Cost],0)</t>
  </si>
  <si>
    <t>Cost variance planned vs actual maintenance</t>
  </si>
  <si>
    <t>M-012</t>
  </si>
  <si>
    <t>Rolling 13M Downtime</t>
  </si>
  <si>
    <t>CALCULATE([Downtime Minutes], DATESINPERIOD(Dim_Date[Date], LASTDATE(Dim_Date[Date]), -13, MONTH))</t>
  </si>
  <si>
    <t>Rolling 13-month downtime trend</t>
  </si>
  <si>
    <t>Complex</t>
  </si>
  <si>
    <t>M-013</t>
  </si>
  <si>
    <t>Downtime Rank by Machine</t>
  </si>
  <si>
    <t>RANKX(ALL(Dim_Machine[MachineName]), [Downtime Minutes],,DESC,DENSE)</t>
  </si>
  <si>
    <t>Rank machines by total downtime</t>
  </si>
  <si>
    <t>M-014</t>
  </si>
  <si>
    <t>FAR Cost Centre Rank</t>
  </si>
  <si>
    <t>RANKX(ALL(Dim_CostCentre[CostCentreName]), [Total FAR Spend],,DESC,DENSE)</t>
  </si>
  <si>
    <t>Internal ranking of cost centres</t>
  </si>
  <si>
    <t>2026-05-15</t>
  </si>
  <si>
    <t>M-015</t>
  </si>
  <si>
    <t>Predictive Failure Score</t>
  </si>
  <si>
    <t>Predictions</t>
  </si>
  <si>
    <t>MAX(Predictions[failure_probability])</t>
  </si>
  <si>
    <t>0.000</t>
  </si>
  <si>
    <t>ML model failure probability score</t>
  </si>
  <si>
    <t>Data Science</t>
  </si>
  <si>
    <t>M-016</t>
  </si>
  <si>
    <t>Budget Spend</t>
  </si>
  <si>
    <t>SUM(Fact_FAR[Budget_Amount])</t>
  </si>
  <si>
    <t>Total budgeted spend</t>
  </si>
  <si>
    <t>M-017</t>
  </si>
  <si>
    <t>Quality Rate %</t>
  </si>
  <si>
    <t>DIVIDE([Good Parts], [Total Parts], 0)</t>
  </si>
  <si>
    <t>Production quality rate</t>
  </si>
  <si>
    <t>M-018</t>
  </si>
  <si>
    <t>Performance %</t>
  </si>
  <si>
    <t>DIVIDE([Actual Output], [Theoretical Output], 0)</t>
  </si>
  <si>
    <t>Machine performance rate</t>
  </si>
  <si>
    <t>M-019</t>
  </si>
  <si>
    <t>Safety Incident Rate</t>
  </si>
  <si>
    <t>Fact_Safety</t>
  </si>
  <si>
    <t>DIVIDE(COUNTROWS(Fact_Safety)*200000, SUM(Fact_Safety[Hours_Worked]), 0)</t>
  </si>
  <si>
    <t>OSHA recordable incident rate</t>
  </si>
  <si>
    <t>Safety</t>
  </si>
  <si>
    <t>M-020</t>
  </si>
  <si>
    <t>Headcount FTE</t>
  </si>
  <si>
    <t>Dim_Employee</t>
  </si>
  <si>
    <t>CALCULATE(COUNTROWS(Dim_Employee), Dim_Employee[Status]="Active")</t>
  </si>
  <si>
    <t>Full-time equivalent headcount</t>
  </si>
  <si>
    <t>HR</t>
  </si>
  <si>
    <t>2026-04-22</t>
  </si>
  <si>
    <t>User ID</t>
  </si>
  <si>
    <t>Display Name</t>
  </si>
  <si>
    <t>Email</t>
  </si>
  <si>
    <t>Role</t>
  </si>
  <si>
    <t>Permission Level</t>
  </si>
  <si>
    <t>License Type</t>
  </si>
  <si>
    <t>Is Service Principal</t>
  </si>
  <si>
    <t>Last Active</t>
  </si>
  <si>
    <t>Reports Accessed (30d)</t>
  </si>
  <si>
    <t>Reports Created</t>
  </si>
  <si>
    <t>Dashboards Accessed</t>
  </si>
  <si>
    <t>MFA Enabled</t>
  </si>
  <si>
    <t>Department</t>
  </si>
  <si>
    <t>Location</t>
  </si>
  <si>
    <t>USR-001</t>
  </si>
  <si>
    <t>John Smith</t>
  </si>
  <si>
    <t>Admin</t>
  </si>
  <si>
    <t>Pro</t>
  </si>
  <si>
    <t>2026-05-24 23:06</t>
  </si>
  <si>
    <t>Detroit Plant</t>
  </si>
  <si>
    <t>USR-002</t>
  </si>
  <si>
    <t>Sarah Johnson</t>
  </si>
  <si>
    <t>Premium</t>
  </si>
  <si>
    <t>2026-05-24 19:45</t>
  </si>
  <si>
    <t>Operations</t>
  </si>
  <si>
    <t>USR-003</t>
  </si>
  <si>
    <t>Mike Chen</t>
  </si>
  <si>
    <t>2026-05-25 11:41</t>
  </si>
  <si>
    <t>USR-004</t>
  </si>
  <si>
    <t>Priya Patel</t>
  </si>
  <si>
    <t>2026-05-24 22:15</t>
  </si>
  <si>
    <t>HQ</t>
  </si>
  <si>
    <t>USR-005</t>
  </si>
  <si>
    <t>David Williams</t>
  </si>
  <si>
    <t>2026-05-24 20:44</t>
  </si>
  <si>
    <t>USR-006</t>
  </si>
  <si>
    <t>Emma Davis</t>
  </si>
  <si>
    <t>2026-05-24 15:57</t>
  </si>
  <si>
    <t>Executive</t>
  </si>
  <si>
    <t>USR-007</t>
  </si>
  <si>
    <t>Member</t>
  </si>
  <si>
    <t>Contributor</t>
  </si>
  <si>
    <t>2026-05-23 06:49</t>
  </si>
  <si>
    <t>Flint Plant</t>
  </si>
  <si>
    <t>USR-008</t>
  </si>
  <si>
    <t>2026-05-25 08:08</t>
  </si>
  <si>
    <t>Quality</t>
  </si>
  <si>
    <t>USR-009</t>
  </si>
  <si>
    <t>2026-05-16 13:59</t>
  </si>
  <si>
    <t>HSE</t>
  </si>
  <si>
    <t>USR-010</t>
  </si>
  <si>
    <t>viewer1@michiganauto.com</t>
  </si>
  <si>
    <t>Viewer</t>
  </si>
  <si>
    <t>2026-05-23 00:12</t>
  </si>
  <si>
    <t>USR-011</t>
  </si>
  <si>
    <t>viewer2@michiganauto.com</t>
  </si>
  <si>
    <t>Free</t>
  </si>
  <si>
    <t>USR-012</t>
  </si>
  <si>
    <t>viewer3@michiganauto.com</t>
  </si>
  <si>
    <t>2026-05-25 11:22</t>
  </si>
  <si>
    <t>USR-013</t>
  </si>
  <si>
    <t>2026-05-23 22:54</t>
  </si>
  <si>
    <t>IT</t>
  </si>
  <si>
    <t>USR-014</t>
  </si>
  <si>
    <t>svc-pbi-refresh@michiganauto.com</t>
  </si>
  <si>
    <t>Service</t>
  </si>
  <si>
    <t>2026-05-24 23:09</t>
  </si>
  <si>
    <t>USR-015</t>
  </si>
  <si>
    <t>svc-pbi-embed@michiganauto.com</t>
  </si>
  <si>
    <t>2026-05-25 09:05</t>
  </si>
  <si>
    <t>USR-016</t>
  </si>
  <si>
    <t>plant.mgr1@michiganauto.com</t>
  </si>
  <si>
    <t>2026-05-24 17:45</t>
  </si>
  <si>
    <t>USR-017</t>
  </si>
  <si>
    <t>plant.mgr2@michiganauto.com</t>
  </si>
  <si>
    <t>2026-05-23 18:23</t>
  </si>
  <si>
    <t>USR-018</t>
  </si>
  <si>
    <t>cfo@michiganauto.com</t>
  </si>
  <si>
    <t>2026-05-25 01:07</t>
  </si>
  <si>
    <t>USR-019</t>
  </si>
  <si>
    <t>coo@michiganauto.com</t>
  </si>
  <si>
    <t>2026-05-24 12:49</t>
  </si>
  <si>
    <t>USR-020</t>
  </si>
  <si>
    <t>it.admin@michiganauto.com</t>
  </si>
  <si>
    <t>2026-05-24 13:43</t>
  </si>
  <si>
    <t>Refresh ID</t>
  </si>
  <si>
    <t>Refresh Type</t>
  </si>
  <si>
    <t>Start Time</t>
  </si>
  <si>
    <t>End Time</t>
  </si>
  <si>
    <t>Duration (min)</t>
  </si>
  <si>
    <t>Rows Refreshed</t>
  </si>
  <si>
    <t>Error Message</t>
  </si>
  <si>
    <t>Triggered By</t>
  </si>
  <si>
    <t>Refresh Mode</t>
  </si>
  <si>
    <t>REF-0001</t>
  </si>
  <si>
    <t>Scheduled</t>
  </si>
  <si>
    <t>2026-05-24 21:29</t>
  </si>
  <si>
    <t>Schedule</t>
  </si>
  <si>
    <t>Full</t>
  </si>
  <si>
    <t>REF-0002</t>
  </si>
  <si>
    <t>2026-05-24 17:24</t>
  </si>
  <si>
    <t>REF-0003</t>
  </si>
  <si>
    <t>2026-05-25 06:00</t>
  </si>
  <si>
    <t>REF-0004</t>
  </si>
  <si>
    <t>2026-05-22 09:30</t>
  </si>
  <si>
    <t>REF-0005</t>
  </si>
  <si>
    <t>2026-05-22 08:14</t>
  </si>
  <si>
    <t>REF-0006</t>
  </si>
  <si>
    <t>2026-05-25 12:22</t>
  </si>
  <si>
    <t>REF-0007</t>
  </si>
  <si>
    <t>2026-05-17 17:01</t>
  </si>
  <si>
    <t>REF-0008</t>
  </si>
  <si>
    <t>2026-05-25 03:18</t>
  </si>
  <si>
    <t>REF-0009</t>
  </si>
  <si>
    <t>2026-05-25 09:30</t>
  </si>
  <si>
    <t>REF-0010</t>
  </si>
  <si>
    <t>2026-05-23 01:49</t>
  </si>
  <si>
    <t>Timeout connecting to data source</t>
  </si>
  <si>
    <t>REF-0011</t>
  </si>
  <si>
    <t>2026-05-21 22:58</t>
  </si>
  <si>
    <t>REF-0012</t>
  </si>
  <si>
    <t>2026-05-25 13:05</t>
  </si>
  <si>
    <t>REF-0013</t>
  </si>
  <si>
    <t>2026-05-22 00:34</t>
  </si>
  <si>
    <t>REF-0014</t>
  </si>
  <si>
    <t>2026-05-25 10:40</t>
  </si>
  <si>
    <t>REF-0015</t>
  </si>
  <si>
    <t>2026-05-24 06:37</t>
  </si>
  <si>
    <t>REF-0016</t>
  </si>
  <si>
    <t>2026-05-22 18:19</t>
  </si>
  <si>
    <t>REF-0017</t>
  </si>
  <si>
    <t>2026-05-24 14:27</t>
  </si>
  <si>
    <t>REF-0018</t>
  </si>
  <si>
    <t>2026-05-23 15:01</t>
  </si>
  <si>
    <t>REF-0019</t>
  </si>
  <si>
    <t>2026-05-21 11:01</t>
  </si>
  <si>
    <t>Warning</t>
  </si>
  <si>
    <t>Incremental refresh partition skipped</t>
  </si>
  <si>
    <t>REF-0020</t>
  </si>
  <si>
    <t>2026-05-19 11:00</t>
  </si>
  <si>
    <t>REF-0021</t>
  </si>
  <si>
    <t>2026-05-22 03:57</t>
  </si>
  <si>
    <t>REF-0022</t>
  </si>
  <si>
    <t>2026-05-24 21:26</t>
  </si>
  <si>
    <t>REF-0023</t>
  </si>
  <si>
    <t>2026-05-22 21:28</t>
  </si>
  <si>
    <t>REF-0024</t>
  </si>
  <si>
    <t>2026-05-23 08:48</t>
  </si>
  <si>
    <t>REF-0025</t>
  </si>
  <si>
    <t>2026-05-23 01:44</t>
  </si>
  <si>
    <t>REF-0026</t>
  </si>
  <si>
    <t>2026-05-25 01:25</t>
  </si>
  <si>
    <t>REF-0027</t>
  </si>
  <si>
    <t>2026-05-24 22:51</t>
  </si>
  <si>
    <t>REF-0028</t>
  </si>
  <si>
    <t>2026-05-24 08:41</t>
  </si>
  <si>
    <t>REF-0029</t>
  </si>
  <si>
    <t>2026-05-23 20:13</t>
  </si>
  <si>
    <t>REF-0030</t>
  </si>
  <si>
    <t>2026-05-23 06:05</t>
  </si>
  <si>
    <t>REF-0031</t>
  </si>
  <si>
    <t>2026-05-25 12:17</t>
  </si>
  <si>
    <t>REF-0032</t>
  </si>
  <si>
    <t>2026-05-21 09:19</t>
  </si>
  <si>
    <t>REF-0033</t>
  </si>
  <si>
    <t>2026-05-22 23:33</t>
  </si>
  <si>
    <t>REF-0034</t>
  </si>
  <si>
    <t>2026-05-20 02:11</t>
  </si>
  <si>
    <t>REF-0035</t>
  </si>
  <si>
    <t>2026-05-22 19:48</t>
  </si>
  <si>
    <t>Lineage ID</t>
  </si>
  <si>
    <t>Source System</t>
  </si>
  <si>
    <t>Source Type</t>
  </si>
  <si>
    <t>Source Object</t>
  </si>
  <si>
    <t>Dataflow Name</t>
  </si>
  <si>
    <t>Transformation Layer</t>
  </si>
  <si>
    <t>Refresh Dependency</t>
  </si>
  <si>
    <t>Last Validated</t>
  </si>
  <si>
    <t>Notes</t>
  </si>
  <si>
    <t>LIN-001</t>
  </si>
  <si>
    <t>On-Prem SQL Server</t>
  </si>
  <si>
    <t>[MA_FAR_Gold].[dbo].[vw_FAR_Facts]</t>
  </si>
  <si>
    <t>DF-FAR-Ingest</t>
  </si>
  <si>
    <t>Bronze→Silver→Gold</t>
  </si>
  <si>
    <t>Via Fabric Data Pipeline</t>
  </si>
  <si>
    <t>LIN-002</t>
  </si>
  <si>
    <t>[MA_FAR_Gold].[dbo].[vw_CostCentre_Dim]</t>
  </si>
  <si>
    <t>Shared dimension</t>
  </si>
  <si>
    <t>LIN-003</t>
  </si>
  <si>
    <t>[MA_8_15_Gold].[dbo].[vw_Production_Facts]</t>
  </si>
  <si>
    <t>DF-8_15-Ingest</t>
  </si>
  <si>
    <t>DirectQuery — no transformation</t>
  </si>
  <si>
    <t>LIN-004</t>
  </si>
  <si>
    <t>[MA_8_15_Gold].[dbo].[vw_Downtime_Facts]</t>
  </si>
  <si>
    <t>Real-time downtime feed</t>
  </si>
  <si>
    <t>LIN-005</t>
  </si>
  <si>
    <t>[MA_Maint_Gold].[dbo].[vw_WorkOrders]</t>
  </si>
  <si>
    <t>DF-Maint-Ingest</t>
  </si>
  <si>
    <t>LIN-006</t>
  </si>
  <si>
    <t>[MA_Maint_Gold].[dbo].[vw_Assets]</t>
  </si>
  <si>
    <t>Static reference data</t>
  </si>
  <si>
    <t>LIN-007</t>
  </si>
  <si>
    <t>predictions_output.failure_probability</t>
  </si>
  <si>
    <t>DF-ML-Ingest</t>
  </si>
  <si>
    <t>API→Bronze→Gold</t>
  </si>
  <si>
    <t>ML model output</t>
  </si>
  <si>
    <t>LIN-008</t>
  </si>
  <si>
    <t>SharePoint Online</t>
  </si>
  <si>
    <t>Safety_Lists/IncidentRegister</t>
  </si>
  <si>
    <t>DF-Safety-Ingest</t>
  </si>
  <si>
    <t>SharePoint→Bronze→Gold</t>
  </si>
  <si>
    <t>Manual entry source</t>
  </si>
  <si>
    <t>LIN-009</t>
  </si>
  <si>
    <t>[MA_SC_Gold].[dbo].[vw_Supplier_Quality]</t>
  </si>
  <si>
    <t>DF-SC-Ingest</t>
  </si>
  <si>
    <t>LIN-010</t>
  </si>
  <si>
    <t>api.energymgmt/readings/v2</t>
  </si>
  <si>
    <t>DF-Energy-Ingest</t>
  </si>
  <si>
    <t>API→Bronze</t>
  </si>
  <si>
    <t>API auth failing — refresh error</t>
  </si>
  <si>
    <t>LIN-011</t>
  </si>
  <si>
    <t>[MA_HR_Gold].[dbo].[vw_Employee_Active]</t>
  </si>
  <si>
    <t>DF-HR-Ingest</t>
  </si>
  <si>
    <t>Weekly batch load</t>
  </si>
  <si>
    <t>LIN-012</t>
  </si>
  <si>
    <t>Power BI Dataset</t>
  </si>
  <si>
    <t>Composite model</t>
  </si>
  <si>
    <t>Live connection to certified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</si>
</sst>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64748B"/>
      <name val="Arial"/>
      <charset val="1"/>
    </font>
    <font>
      <b/>
      <sz val="22"/>
      <color rgb="FF2563EB"/>
      <name val="Arial"/>
      <charset val="1"/>
    </font>
    <font>
      <b/>
      <sz val="22"/>
      <color rgb="FF16A34A"/>
      <name val="Arial"/>
      <charset val="1"/>
    </font>
    <font>
      <b/>
      <sz val="22"/>
      <color rgb="FFD97706"/>
      <name val="Arial"/>
      <charset val="1"/>
    </font>
    <font>
      <b/>
      <sz val="22"/>
      <color rgb="FF7C3AED"/>
      <name val="Arial"/>
      <charset val="1"/>
    </font>
    <font>
      <sz val="8"/>
      <color rgb="FF94A3B8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334E68"/>
      <name val="Arial"/>
      <charset val="1"/>
    </font>
    <font>
      <b/>
      <sz val="9"/>
      <color rgb="FF16A34A"/>
      <name val="Arial"/>
      <charset val="1"/>
    </font>
    <font>
      <b/>
      <sz val="9"/>
      <color rgb="FFDC2626"/>
      <name val="Arial"/>
      <charset val="1"/>
    </font>
    <font>
      <sz val="9"/>
      <color rgb="FF16A34A"/>
      <name val="Arial"/>
      <charset val="1"/>
    </font>
    <font>
      <sz val="8"/>
      <color rgb="FF6D28D9"/>
      <name val="Arial"/>
      <charset val="1"/>
    </font>
    <font>
      <b/>
      <sz val="9"/>
      <color rgb="FFD97706"/>
      <name val="Arial"/>
      <charset val="1"/>
    </font>
    <font>
      <sz val="9"/>
      <color rgb="FFD97706"/>
      <name val="Arial"/>
      <charset val="1"/>
    </font>
    <font>
      <b/>
      <sz val="9"/>
      <color rgb="FF7C3AED"/>
      <name val="Arial"/>
      <charset val="1"/>
    </font>
    <font>
      <sz val="8"/>
      <color rgb="FFDC2626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0D2137"/>
        <bgColor rgb="FF1E3A5F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EE2E2"/>
      </patternFill>
    </fill>
    <fill>
      <patternFill patternType="solid">
        <fgColor rgb="FFEDE9FE"/>
        <bgColor rgb="FFF1F5F9"/>
      </patternFill>
    </fill>
    <fill>
      <patternFill patternType="solid">
        <fgColor rgb="FF2563EB"/>
        <bgColor rgb="FF0066CC"/>
      </patternFill>
    </fill>
    <fill>
      <patternFill patternType="solid">
        <fgColor rgb="FF1E3A5F"/>
        <bgColor rgb="FF1A4731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EDE9FE"/>
      </patternFill>
    </fill>
    <fill>
      <patternFill patternType="solid">
        <fgColor rgb="FF16A34A"/>
        <bgColor rgb="FF008080"/>
      </patternFill>
    </fill>
    <fill>
      <patternFill patternType="solid">
        <fgColor rgb="FF1A4731"/>
        <bgColor rgb="FF1E3A5F"/>
      </patternFill>
    </fill>
    <fill>
      <patternFill patternType="solid">
        <fgColor rgb="FFF1F5F9"/>
        <bgColor rgb="FFF8FAFC"/>
      </patternFill>
    </fill>
  </fills>
  <borders count="6">
    <border>
      <left/>
      <right/>
      <top/>
      <bottom/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medium">
        <color rgb="FF16A34A"/>
      </left>
      <right style="medium">
        <color rgb="FF16A34A"/>
      </right>
      <top style="medium">
        <color rgb="FF16A34A"/>
      </top>
      <bottom style="medium">
        <color rgb="FF16A34A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medium">
        <color rgb="FF7C3AED"/>
      </left>
      <right style="medium">
        <color rgb="FF7C3AED"/>
      </right>
      <top style="medium">
        <color rgb="FF7C3AED"/>
      </top>
      <bottom style="medium">
        <color rgb="FF7C3AE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7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0" borderId="5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2" fillId="11" borderId="5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1" fillId="10" borderId="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4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4" fillId="10" borderId="5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left" vertical="center"/>
    </xf>
    <xf numFmtId="0" fontId="10" fillId="14" borderId="5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0" fontId="17" fillId="10" borderId="5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18" fillId="10" borderId="5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891B2"/>
      <rgbColor rgb="FFEDE9FE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8FAFC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4748B"/>
      <rgbColor rgb="FF94A3B8"/>
      <rgbColor rgb="FF1E3A5F"/>
      <rgbColor rgb="FF16A34A"/>
      <rgbColor rgb="FF0D2137"/>
      <rgbColor rgb="FF333300"/>
      <rgbColor rgb="FF993300"/>
      <rgbColor rgb="FF993366"/>
      <rgbColor rgb="FF334E68"/>
      <rgbColor rgb="FF1A47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137"/>
  </sheetPr>
  <dimension ref="A1:L30"/>
  <sheetViews>
    <sheetView showGridLines="0" tabSelected="1" zoomScale="90" zoomScaleNormal="90" workbookViewId="0"/>
  </sheetViews>
  <sheetFormatPr defaultColWidth="8.7109375" defaultRowHeight="15"/>
  <cols>
    <col min="1" max="12" width="22" customWidth="1"/>
  </cols>
  <sheetData>
    <row r="1" spans="1:12" ht="37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7.5" customHeight="1"/>
    <row r="4" spans="1:12" ht="18" customHeight="1">
      <c r="A4" s="12" t="s">
        <v>2</v>
      </c>
      <c r="B4" s="12"/>
      <c r="C4" s="11" t="s">
        <v>3</v>
      </c>
      <c r="D4" s="11"/>
      <c r="E4" s="10" t="s">
        <v>4</v>
      </c>
      <c r="F4" s="10"/>
      <c r="G4" s="9" t="s">
        <v>5</v>
      </c>
      <c r="H4" s="9"/>
      <c r="I4" s="12" t="s">
        <v>6</v>
      </c>
      <c r="J4" s="12"/>
      <c r="K4" s="11" t="s">
        <v>7</v>
      </c>
      <c r="L4" s="11"/>
    </row>
    <row r="5" spans="1:12" ht="31.5" customHeight="1">
      <c r="A5" s="8">
        <v>12</v>
      </c>
      <c r="B5" s="8"/>
      <c r="C5" s="7">
        <v>20</v>
      </c>
      <c r="D5" s="7"/>
      <c r="E5" s="6">
        <v>12</v>
      </c>
      <c r="F5" s="6"/>
      <c r="G5" s="5">
        <v>20</v>
      </c>
      <c r="H5" s="5"/>
      <c r="I5" s="8">
        <v>20</v>
      </c>
      <c r="J5" s="8"/>
      <c r="K5" s="7" t="s">
        <v>8</v>
      </c>
      <c r="L5" s="7"/>
    </row>
    <row r="6" spans="1:12" ht="18" customHeight="1">
      <c r="A6" s="4" t="s">
        <v>9</v>
      </c>
      <c r="B6" s="4"/>
      <c r="C6" s="3" t="s">
        <v>10</v>
      </c>
      <c r="D6" s="3"/>
      <c r="E6" s="2" t="s">
        <v>11</v>
      </c>
      <c r="F6" s="2"/>
      <c r="G6" s="1" t="s">
        <v>12</v>
      </c>
      <c r="H6" s="1"/>
      <c r="I6" s="4" t="s">
        <v>13</v>
      </c>
      <c r="J6" s="4"/>
      <c r="K6" s="3" t="s">
        <v>14</v>
      </c>
      <c r="L6" s="3"/>
    </row>
    <row r="7" spans="1:12" ht="7.5" customHeight="1"/>
    <row r="8" spans="1:12" ht="24" customHeight="1">
      <c r="A8" s="43" t="s">
        <v>15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ht="21.75" customHeight="1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</row>
    <row r="10" spans="1:12" ht="18" customHeight="1">
      <c r="A10" s="16" t="s">
        <v>23</v>
      </c>
      <c r="B10" s="16">
        <v>5</v>
      </c>
      <c r="C10" s="16">
        <v>2</v>
      </c>
      <c r="D10" s="16">
        <v>3</v>
      </c>
      <c r="E10" s="16">
        <v>1</v>
      </c>
      <c r="F10" s="16" t="s">
        <v>24</v>
      </c>
      <c r="G10" s="17" t="s">
        <v>25</v>
      </c>
    </row>
    <row r="11" spans="1:12" ht="18" customHeight="1">
      <c r="A11" s="18" t="s">
        <v>26</v>
      </c>
      <c r="B11" s="18">
        <v>4</v>
      </c>
      <c r="C11" s="18">
        <v>2</v>
      </c>
      <c r="D11" s="18">
        <v>2</v>
      </c>
      <c r="E11" s="18">
        <v>1</v>
      </c>
      <c r="F11" s="18" t="s">
        <v>24</v>
      </c>
      <c r="G11" s="17" t="s">
        <v>25</v>
      </c>
    </row>
    <row r="12" spans="1:12" ht="18" customHeight="1">
      <c r="A12" s="16" t="s">
        <v>27</v>
      </c>
      <c r="B12" s="16">
        <v>6</v>
      </c>
      <c r="C12" s="16">
        <v>3</v>
      </c>
      <c r="D12" s="16">
        <v>3</v>
      </c>
      <c r="E12" s="16">
        <v>2</v>
      </c>
      <c r="F12" s="16" t="s">
        <v>24</v>
      </c>
      <c r="G12" s="17" t="s">
        <v>25</v>
      </c>
    </row>
    <row r="13" spans="1:12" ht="18" customHeight="1">
      <c r="A13" s="18" t="s">
        <v>28</v>
      </c>
      <c r="B13" s="18">
        <v>7</v>
      </c>
      <c r="C13" s="18">
        <v>3</v>
      </c>
      <c r="D13" s="18">
        <v>4</v>
      </c>
      <c r="E13" s="18">
        <v>2</v>
      </c>
      <c r="F13" s="18" t="s">
        <v>24</v>
      </c>
      <c r="G13" s="17" t="s">
        <v>25</v>
      </c>
    </row>
    <row r="14" spans="1:12" ht="18" customHeight="1">
      <c r="A14" s="16" t="s">
        <v>29</v>
      </c>
      <c r="B14" s="16">
        <v>3</v>
      </c>
      <c r="C14" s="16">
        <v>2</v>
      </c>
      <c r="D14" s="16">
        <v>2</v>
      </c>
      <c r="E14" s="16">
        <v>0</v>
      </c>
      <c r="F14" s="16" t="s">
        <v>24</v>
      </c>
      <c r="G14" s="17" t="s">
        <v>25</v>
      </c>
    </row>
    <row r="15" spans="1:12" ht="18" customHeight="1">
      <c r="A15" s="18" t="s">
        <v>30</v>
      </c>
      <c r="B15" s="18">
        <v>3</v>
      </c>
      <c r="C15" s="18">
        <v>4</v>
      </c>
      <c r="D15" s="18">
        <v>1</v>
      </c>
      <c r="E15" s="18">
        <v>3</v>
      </c>
      <c r="F15" s="18" t="s">
        <v>24</v>
      </c>
      <c r="G15" s="17" t="s">
        <v>25</v>
      </c>
    </row>
    <row r="16" spans="1:12" ht="18" customHeight="1">
      <c r="A16" s="16" t="s">
        <v>31</v>
      </c>
      <c r="B16" s="16">
        <v>8</v>
      </c>
      <c r="C16" s="16">
        <v>5</v>
      </c>
      <c r="D16" s="16">
        <v>4</v>
      </c>
      <c r="E16" s="16">
        <v>3</v>
      </c>
      <c r="F16" s="16" t="s">
        <v>24</v>
      </c>
      <c r="G16" s="17" t="s">
        <v>25</v>
      </c>
    </row>
    <row r="17" spans="1:12" ht="18" customHeight="1">
      <c r="A17" s="18" t="s">
        <v>32</v>
      </c>
      <c r="B17" s="18">
        <v>40</v>
      </c>
      <c r="C17" s="18">
        <v>27</v>
      </c>
      <c r="D17" s="18">
        <v>14</v>
      </c>
      <c r="E17" s="18">
        <v>12</v>
      </c>
      <c r="F17" s="18" t="s">
        <v>33</v>
      </c>
      <c r="G17" s="17" t="s">
        <v>25</v>
      </c>
    </row>
    <row r="18" spans="1:12" ht="18" customHeight="1">
      <c r="A18" s="16" t="s">
        <v>34</v>
      </c>
      <c r="B18" s="16">
        <v>12</v>
      </c>
      <c r="C18" s="16">
        <v>7</v>
      </c>
      <c r="D18" s="16">
        <v>4</v>
      </c>
      <c r="E18" s="16">
        <v>2</v>
      </c>
      <c r="F18" s="16" t="s">
        <v>35</v>
      </c>
      <c r="G18" s="17" t="s">
        <v>25</v>
      </c>
    </row>
    <row r="19" spans="1:12" ht="18" customHeight="1">
      <c r="A19" s="18" t="s">
        <v>36</v>
      </c>
      <c r="B19" s="18">
        <v>12</v>
      </c>
      <c r="C19" s="18">
        <v>6</v>
      </c>
      <c r="D19" s="18">
        <v>5</v>
      </c>
      <c r="E19" s="18">
        <v>2</v>
      </c>
      <c r="F19" s="18" t="s">
        <v>24</v>
      </c>
      <c r="G19" s="19" t="s">
        <v>37</v>
      </c>
    </row>
    <row r="21" spans="1:12" ht="24" customHeight="1">
      <c r="A21" s="44" t="s">
        <v>38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ht="21.75" customHeight="1">
      <c r="A22" s="20" t="s">
        <v>39</v>
      </c>
      <c r="B22" s="20" t="s">
        <v>40</v>
      </c>
      <c r="C22" s="20" t="s">
        <v>41</v>
      </c>
      <c r="D22" s="20" t="s">
        <v>42</v>
      </c>
      <c r="E22" s="20" t="s">
        <v>43</v>
      </c>
      <c r="F22" s="20" t="s">
        <v>44</v>
      </c>
      <c r="G22" s="20" t="s">
        <v>45</v>
      </c>
    </row>
    <row r="23" spans="1:12" ht="18" customHeight="1">
      <c r="A23" s="18" t="s">
        <v>46</v>
      </c>
      <c r="B23" s="17" t="s">
        <v>47</v>
      </c>
      <c r="C23" s="18" t="s">
        <v>48</v>
      </c>
      <c r="D23" s="18" t="s">
        <v>49</v>
      </c>
      <c r="E23" s="18" t="s">
        <v>50</v>
      </c>
      <c r="F23" s="21" t="s">
        <v>51</v>
      </c>
      <c r="G23" s="22" t="s">
        <v>52</v>
      </c>
    </row>
    <row r="24" spans="1:12" ht="18" customHeight="1">
      <c r="A24" s="16" t="s">
        <v>53</v>
      </c>
      <c r="B24" s="17" t="s">
        <v>47</v>
      </c>
      <c r="C24" s="16" t="s">
        <v>54</v>
      </c>
      <c r="D24" s="16" t="s">
        <v>55</v>
      </c>
      <c r="E24" s="16" t="s">
        <v>56</v>
      </c>
      <c r="F24" s="23" t="s">
        <v>51</v>
      </c>
      <c r="G24" s="24" t="s">
        <v>57</v>
      </c>
    </row>
    <row r="25" spans="1:12" ht="18" customHeight="1">
      <c r="A25" s="18" t="s">
        <v>58</v>
      </c>
      <c r="B25" s="17" t="s">
        <v>47</v>
      </c>
      <c r="C25" s="18" t="s">
        <v>59</v>
      </c>
      <c r="D25" s="18" t="s">
        <v>60</v>
      </c>
      <c r="E25" s="18" t="s">
        <v>61</v>
      </c>
      <c r="F25" s="21" t="s">
        <v>51</v>
      </c>
      <c r="G25" s="24" t="s">
        <v>57</v>
      </c>
    </row>
    <row r="26" spans="1:12" ht="18" customHeight="1">
      <c r="A26" s="16" t="s">
        <v>62</v>
      </c>
      <c r="B26" s="17" t="s">
        <v>47</v>
      </c>
      <c r="C26" s="16" t="s">
        <v>63</v>
      </c>
      <c r="D26" s="16" t="s">
        <v>64</v>
      </c>
      <c r="E26" s="16" t="s">
        <v>65</v>
      </c>
      <c r="F26" s="25" t="s">
        <v>66</v>
      </c>
      <c r="G26" s="22" t="s">
        <v>52</v>
      </c>
    </row>
    <row r="27" spans="1:12" ht="18" customHeight="1">
      <c r="A27" s="18" t="s">
        <v>67</v>
      </c>
      <c r="B27" s="17" t="s">
        <v>47</v>
      </c>
      <c r="C27" s="18" t="s">
        <v>68</v>
      </c>
      <c r="D27" s="18" t="s">
        <v>69</v>
      </c>
      <c r="E27" s="18" t="s">
        <v>70</v>
      </c>
      <c r="F27" s="21" t="s">
        <v>51</v>
      </c>
      <c r="G27" s="22" t="s">
        <v>52</v>
      </c>
    </row>
    <row r="28" spans="1:12" ht="18" customHeight="1">
      <c r="A28" s="16" t="s">
        <v>71</v>
      </c>
      <c r="B28" s="17" t="s">
        <v>47</v>
      </c>
      <c r="C28" s="16" t="s">
        <v>72</v>
      </c>
      <c r="D28" s="16" t="s">
        <v>73</v>
      </c>
      <c r="E28" s="16" t="s">
        <v>74</v>
      </c>
      <c r="F28" s="25" t="s">
        <v>66</v>
      </c>
      <c r="G28" s="24" t="s">
        <v>57</v>
      </c>
    </row>
    <row r="29" spans="1:12" ht="18" customHeight="1">
      <c r="A29" s="18" t="s">
        <v>75</v>
      </c>
      <c r="B29" s="19" t="s">
        <v>76</v>
      </c>
      <c r="C29" s="18" t="s">
        <v>77</v>
      </c>
      <c r="D29" s="18" t="s">
        <v>78</v>
      </c>
      <c r="E29" s="18" t="s">
        <v>79</v>
      </c>
      <c r="F29" s="26" t="s">
        <v>66</v>
      </c>
      <c r="G29" s="24" t="s">
        <v>57</v>
      </c>
    </row>
    <row r="30" spans="1:12" ht="18" customHeight="1">
      <c r="A30" s="16" t="s">
        <v>80</v>
      </c>
      <c r="B30" s="17" t="s">
        <v>47</v>
      </c>
      <c r="C30" s="16" t="s">
        <v>81</v>
      </c>
      <c r="D30" s="16" t="s">
        <v>49</v>
      </c>
      <c r="E30" s="16" t="s">
        <v>82</v>
      </c>
      <c r="F30" s="25" t="s">
        <v>66</v>
      </c>
      <c r="G30" s="24" t="s">
        <v>57</v>
      </c>
    </row>
  </sheetData>
  <mergeCells count="22">
    <mergeCell ref="A8:L8"/>
    <mergeCell ref="A21:L21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Q13"/>
  <sheetViews>
    <sheetView showGridLines="0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2" customWidth="1"/>
    <col min="2" max="2" width="32" customWidth="1"/>
    <col min="3" max="3" width="14" customWidth="1"/>
    <col min="4" max="4" width="10" customWidth="1"/>
    <col min="5" max="5" width="18" customWidth="1"/>
    <col min="6" max="7" width="10" customWidth="1"/>
    <col min="8" max="8" width="20" customWidth="1"/>
    <col min="9" max="9" width="32" customWidth="1"/>
    <col min="10" max="11" width="14" customWidth="1"/>
    <col min="12" max="13" width="12" customWidth="1"/>
    <col min="14" max="14" width="14" customWidth="1"/>
    <col min="15" max="16" width="12" customWidth="1"/>
    <col min="17" max="17" width="14" customWidth="1"/>
  </cols>
  <sheetData>
    <row r="1" spans="1:17" ht="27.75" customHeight="1">
      <c r="A1" s="27" t="s">
        <v>83</v>
      </c>
      <c r="B1" s="27" t="s">
        <v>84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89</v>
      </c>
      <c r="H1" s="27" t="s">
        <v>90</v>
      </c>
      <c r="I1" s="27" t="s">
        <v>91</v>
      </c>
      <c r="J1" s="27" t="s">
        <v>92</v>
      </c>
      <c r="K1" s="27" t="s">
        <v>93</v>
      </c>
      <c r="L1" s="27" t="s">
        <v>94</v>
      </c>
      <c r="M1" s="27" t="s">
        <v>95</v>
      </c>
      <c r="N1" s="27" t="s">
        <v>96</v>
      </c>
      <c r="O1" s="27" t="s">
        <v>97</v>
      </c>
      <c r="P1" s="27" t="s">
        <v>98</v>
      </c>
      <c r="Q1" s="27" t="s">
        <v>99</v>
      </c>
    </row>
    <row r="2" spans="1:17">
      <c r="A2" s="16" t="s">
        <v>100</v>
      </c>
      <c r="B2" s="16" t="s">
        <v>31</v>
      </c>
      <c r="C2" s="28" t="s">
        <v>16</v>
      </c>
      <c r="D2" s="24" t="s">
        <v>25</v>
      </c>
      <c r="E2" s="16" t="s">
        <v>101</v>
      </c>
      <c r="F2" s="16" t="s">
        <v>8</v>
      </c>
      <c r="G2" s="16" t="s">
        <v>102</v>
      </c>
      <c r="H2" s="23" t="s">
        <v>51</v>
      </c>
      <c r="I2" s="16" t="s">
        <v>103</v>
      </c>
      <c r="J2" s="16" t="s">
        <v>104</v>
      </c>
      <c r="K2" s="16" t="s">
        <v>105</v>
      </c>
      <c r="L2" s="16">
        <v>14</v>
      </c>
      <c r="M2" s="16">
        <v>8</v>
      </c>
      <c r="N2" s="16">
        <v>6</v>
      </c>
      <c r="O2" s="16">
        <v>4</v>
      </c>
      <c r="P2" s="16">
        <v>23</v>
      </c>
      <c r="Q2" s="16" t="b">
        <f>FALSE()</f>
        <v>0</v>
      </c>
    </row>
    <row r="3" spans="1:17">
      <c r="A3" s="18" t="s">
        <v>106</v>
      </c>
      <c r="B3" s="18" t="s">
        <v>23</v>
      </c>
      <c r="C3" s="28" t="s">
        <v>16</v>
      </c>
      <c r="D3" s="24" t="s">
        <v>25</v>
      </c>
      <c r="E3" s="18" t="s">
        <v>101</v>
      </c>
      <c r="F3" s="18" t="s">
        <v>8</v>
      </c>
      <c r="G3" s="18" t="s">
        <v>102</v>
      </c>
      <c r="H3" s="21" t="s">
        <v>51</v>
      </c>
      <c r="I3" s="18" t="s">
        <v>107</v>
      </c>
      <c r="J3" s="18" t="s">
        <v>108</v>
      </c>
      <c r="K3" s="18" t="s">
        <v>109</v>
      </c>
      <c r="L3" s="18">
        <v>5</v>
      </c>
      <c r="M3" s="18">
        <v>2</v>
      </c>
      <c r="N3" s="18">
        <v>3</v>
      </c>
      <c r="O3" s="18">
        <v>1</v>
      </c>
      <c r="P3" s="18">
        <v>12</v>
      </c>
      <c r="Q3" s="18" t="b">
        <f>FALSE()</f>
        <v>0</v>
      </c>
    </row>
    <row r="4" spans="1:17">
      <c r="A4" s="16" t="s">
        <v>110</v>
      </c>
      <c r="B4" s="16" t="s">
        <v>26</v>
      </c>
      <c r="C4" s="28" t="s">
        <v>16</v>
      </c>
      <c r="D4" s="24" t="s">
        <v>25</v>
      </c>
      <c r="E4" s="16" t="s">
        <v>101</v>
      </c>
      <c r="F4" s="16" t="s">
        <v>8</v>
      </c>
      <c r="G4" s="16" t="s">
        <v>102</v>
      </c>
      <c r="H4" s="23" t="s">
        <v>51</v>
      </c>
      <c r="I4" s="16" t="s">
        <v>111</v>
      </c>
      <c r="J4" s="16" t="s">
        <v>112</v>
      </c>
      <c r="K4" s="16" t="s">
        <v>113</v>
      </c>
      <c r="L4" s="16">
        <v>4</v>
      </c>
      <c r="M4" s="16">
        <v>2</v>
      </c>
      <c r="N4" s="16">
        <v>2</v>
      </c>
      <c r="O4" s="16">
        <v>1</v>
      </c>
      <c r="P4" s="16">
        <v>18</v>
      </c>
      <c r="Q4" s="16" t="b">
        <f>FALSE()</f>
        <v>0</v>
      </c>
    </row>
    <row r="5" spans="1:17">
      <c r="A5" s="18" t="s">
        <v>114</v>
      </c>
      <c r="B5" s="18" t="s">
        <v>27</v>
      </c>
      <c r="C5" s="28" t="s">
        <v>16</v>
      </c>
      <c r="D5" s="24" t="s">
        <v>25</v>
      </c>
      <c r="E5" s="18" t="s">
        <v>101</v>
      </c>
      <c r="F5" s="18" t="s">
        <v>8</v>
      </c>
      <c r="G5" s="18" t="s">
        <v>102</v>
      </c>
      <c r="H5" s="21" t="s">
        <v>51</v>
      </c>
      <c r="I5" s="18" t="s">
        <v>115</v>
      </c>
      <c r="J5" s="18" t="s">
        <v>116</v>
      </c>
      <c r="K5" s="18" t="s">
        <v>117</v>
      </c>
      <c r="L5" s="18">
        <v>6</v>
      </c>
      <c r="M5" s="18">
        <v>3</v>
      </c>
      <c r="N5" s="18">
        <v>3</v>
      </c>
      <c r="O5" s="18">
        <v>2</v>
      </c>
      <c r="P5" s="18">
        <v>15</v>
      </c>
      <c r="Q5" s="18" t="b">
        <f>FALSE()</f>
        <v>0</v>
      </c>
    </row>
    <row r="6" spans="1:17">
      <c r="A6" s="16" t="s">
        <v>118</v>
      </c>
      <c r="B6" s="16" t="s">
        <v>30</v>
      </c>
      <c r="C6" s="28" t="s">
        <v>16</v>
      </c>
      <c r="D6" s="24" t="s">
        <v>25</v>
      </c>
      <c r="E6" s="16" t="s">
        <v>101</v>
      </c>
      <c r="F6" s="16" t="s">
        <v>8</v>
      </c>
      <c r="G6" s="16" t="s">
        <v>102</v>
      </c>
      <c r="H6" s="23" t="s">
        <v>51</v>
      </c>
      <c r="I6" s="16" t="s">
        <v>119</v>
      </c>
      <c r="J6" s="16" t="s">
        <v>120</v>
      </c>
      <c r="K6" s="16" t="s">
        <v>121</v>
      </c>
      <c r="L6" s="16">
        <v>3</v>
      </c>
      <c r="M6" s="16">
        <v>4</v>
      </c>
      <c r="N6" s="16">
        <v>1</v>
      </c>
      <c r="O6" s="16">
        <v>3</v>
      </c>
      <c r="P6" s="16">
        <v>8</v>
      </c>
      <c r="Q6" s="16" t="b">
        <f>FALSE()</f>
        <v>0</v>
      </c>
    </row>
    <row r="7" spans="1:17">
      <c r="A7" s="18" t="s">
        <v>122</v>
      </c>
      <c r="B7" s="18" t="s">
        <v>28</v>
      </c>
      <c r="C7" s="28" t="s">
        <v>16</v>
      </c>
      <c r="D7" s="24" t="s">
        <v>25</v>
      </c>
      <c r="E7" s="18" t="s">
        <v>101</v>
      </c>
      <c r="F7" s="18" t="s">
        <v>8</v>
      </c>
      <c r="G7" s="18" t="s">
        <v>102</v>
      </c>
      <c r="H7" s="21" t="s">
        <v>51</v>
      </c>
      <c r="I7" s="18" t="s">
        <v>123</v>
      </c>
      <c r="J7" s="18" t="s">
        <v>124</v>
      </c>
      <c r="K7" s="18" t="s">
        <v>125</v>
      </c>
      <c r="L7" s="18">
        <v>7</v>
      </c>
      <c r="M7" s="18">
        <v>3</v>
      </c>
      <c r="N7" s="18">
        <v>4</v>
      </c>
      <c r="O7" s="18">
        <v>2</v>
      </c>
      <c r="P7" s="18">
        <v>19</v>
      </c>
      <c r="Q7" s="18" t="b">
        <f>FALSE()</f>
        <v>0</v>
      </c>
    </row>
    <row r="8" spans="1:17">
      <c r="A8" s="16" t="s">
        <v>126</v>
      </c>
      <c r="B8" s="16" t="s">
        <v>29</v>
      </c>
      <c r="C8" s="28" t="s">
        <v>16</v>
      </c>
      <c r="D8" s="24" t="s">
        <v>25</v>
      </c>
      <c r="E8" s="16" t="s">
        <v>101</v>
      </c>
      <c r="F8" s="16" t="s">
        <v>8</v>
      </c>
      <c r="G8" s="16" t="s">
        <v>102</v>
      </c>
      <c r="H8" s="23" t="s">
        <v>51</v>
      </c>
      <c r="I8" s="16" t="s">
        <v>127</v>
      </c>
      <c r="J8" s="16" t="s">
        <v>128</v>
      </c>
      <c r="K8" s="16" t="s">
        <v>129</v>
      </c>
      <c r="L8" s="16">
        <v>3</v>
      </c>
      <c r="M8" s="16">
        <v>2</v>
      </c>
      <c r="N8" s="16">
        <v>2</v>
      </c>
      <c r="O8" s="16">
        <v>0</v>
      </c>
      <c r="P8" s="16">
        <v>9</v>
      </c>
      <c r="Q8" s="16" t="b">
        <f>FALSE()</f>
        <v>0</v>
      </c>
    </row>
    <row r="9" spans="1:17">
      <c r="A9" s="18" t="s">
        <v>130</v>
      </c>
      <c r="B9" s="18" t="s">
        <v>131</v>
      </c>
      <c r="C9" s="28" t="s">
        <v>16</v>
      </c>
      <c r="D9" s="24" t="s">
        <v>25</v>
      </c>
      <c r="E9" s="18" t="s">
        <v>132</v>
      </c>
      <c r="F9" s="18" t="s">
        <v>133</v>
      </c>
      <c r="G9" s="18" t="s">
        <v>102</v>
      </c>
      <c r="H9" s="26" t="s">
        <v>66</v>
      </c>
      <c r="I9" s="18" t="s">
        <v>134</v>
      </c>
      <c r="J9" s="18" t="s">
        <v>135</v>
      </c>
      <c r="K9" s="18" t="s">
        <v>129</v>
      </c>
      <c r="L9" s="18">
        <v>22</v>
      </c>
      <c r="M9" s="18">
        <v>15</v>
      </c>
      <c r="N9" s="18">
        <v>8</v>
      </c>
      <c r="O9" s="18">
        <v>7</v>
      </c>
      <c r="P9" s="18">
        <v>6</v>
      </c>
      <c r="Q9" s="18" t="b">
        <f>FALSE()</f>
        <v>0</v>
      </c>
    </row>
    <row r="10" spans="1:17">
      <c r="A10" s="16" t="s">
        <v>136</v>
      </c>
      <c r="B10" s="16" t="s">
        <v>137</v>
      </c>
      <c r="C10" s="28" t="s">
        <v>16</v>
      </c>
      <c r="D10" s="24" t="s">
        <v>25</v>
      </c>
      <c r="E10" s="16" t="s">
        <v>132</v>
      </c>
      <c r="F10" s="16" t="s">
        <v>133</v>
      </c>
      <c r="G10" s="16" t="s">
        <v>102</v>
      </c>
      <c r="H10" s="25" t="s">
        <v>66</v>
      </c>
      <c r="I10" s="16" t="s">
        <v>138</v>
      </c>
      <c r="J10" s="16" t="s">
        <v>139</v>
      </c>
      <c r="K10" s="16" t="s">
        <v>140</v>
      </c>
      <c r="L10" s="16">
        <v>18</v>
      </c>
      <c r="M10" s="16">
        <v>12</v>
      </c>
      <c r="N10" s="16">
        <v>6</v>
      </c>
      <c r="O10" s="16">
        <v>5</v>
      </c>
      <c r="P10" s="16">
        <v>4</v>
      </c>
      <c r="Q10" s="16" t="b">
        <f>FALSE()</f>
        <v>0</v>
      </c>
    </row>
    <row r="11" spans="1:17">
      <c r="A11" s="18" t="s">
        <v>141</v>
      </c>
      <c r="B11" s="18" t="s">
        <v>142</v>
      </c>
      <c r="C11" s="22" t="s">
        <v>143</v>
      </c>
      <c r="D11" s="24" t="s">
        <v>25</v>
      </c>
      <c r="E11" s="18" t="s">
        <v>35</v>
      </c>
      <c r="F11" s="18" t="s">
        <v>35</v>
      </c>
      <c r="G11" s="18" t="s">
        <v>102</v>
      </c>
      <c r="H11" s="26" t="s">
        <v>66</v>
      </c>
      <c r="I11" s="18" t="s">
        <v>144</v>
      </c>
      <c r="J11" s="18" t="s">
        <v>145</v>
      </c>
      <c r="K11" s="18" t="s">
        <v>129</v>
      </c>
      <c r="L11" s="18">
        <v>8</v>
      </c>
      <c r="M11" s="18">
        <v>5</v>
      </c>
      <c r="N11" s="18">
        <v>3</v>
      </c>
      <c r="O11" s="18">
        <v>2</v>
      </c>
      <c r="P11" s="18">
        <v>1</v>
      </c>
      <c r="Q11" s="18" t="b">
        <f>FALSE()</f>
        <v>0</v>
      </c>
    </row>
    <row r="12" spans="1:17">
      <c r="A12" s="16" t="s">
        <v>146</v>
      </c>
      <c r="B12" s="16" t="s">
        <v>142</v>
      </c>
      <c r="C12" s="22" t="s">
        <v>143</v>
      </c>
      <c r="D12" s="24" t="s">
        <v>25</v>
      </c>
      <c r="E12" s="16" t="s">
        <v>35</v>
      </c>
      <c r="F12" s="16" t="s">
        <v>35</v>
      </c>
      <c r="G12" s="16" t="s">
        <v>102</v>
      </c>
      <c r="H12" s="25" t="s">
        <v>66</v>
      </c>
      <c r="I12" s="16" t="s">
        <v>147</v>
      </c>
      <c r="J12" s="16" t="s">
        <v>148</v>
      </c>
      <c r="K12" s="16" t="s">
        <v>105</v>
      </c>
      <c r="L12" s="16">
        <v>4</v>
      </c>
      <c r="M12" s="16">
        <v>2</v>
      </c>
      <c r="N12" s="16">
        <v>1</v>
      </c>
      <c r="O12" s="16">
        <v>0</v>
      </c>
      <c r="P12" s="16">
        <v>1</v>
      </c>
      <c r="Q12" s="16" t="b">
        <f>FALSE()</f>
        <v>0</v>
      </c>
    </row>
    <row r="13" spans="1:17">
      <c r="A13" s="18" t="s">
        <v>149</v>
      </c>
      <c r="B13" s="18" t="s">
        <v>36</v>
      </c>
      <c r="C13" s="28" t="s">
        <v>16</v>
      </c>
      <c r="D13" s="29" t="s">
        <v>37</v>
      </c>
      <c r="E13" s="18" t="s">
        <v>101</v>
      </c>
      <c r="F13" s="18" t="s">
        <v>8</v>
      </c>
      <c r="G13" s="18" t="s">
        <v>102</v>
      </c>
      <c r="H13" s="21" t="s">
        <v>51</v>
      </c>
      <c r="I13" s="18" t="s">
        <v>150</v>
      </c>
      <c r="J13" s="18" t="s">
        <v>151</v>
      </c>
      <c r="K13" s="18" t="s">
        <v>152</v>
      </c>
      <c r="L13" s="18">
        <v>12</v>
      </c>
      <c r="M13" s="18">
        <v>6</v>
      </c>
      <c r="N13" s="18">
        <v>5</v>
      </c>
      <c r="O13" s="18">
        <v>2</v>
      </c>
      <c r="P13" s="18">
        <v>3</v>
      </c>
      <c r="Q13" s="18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R21"/>
  <sheetViews>
    <sheetView showGridLines="0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0" customWidth="1"/>
    <col min="2" max="2" width="36" customWidth="1"/>
    <col min="3" max="3" width="30" customWidth="1"/>
    <col min="4" max="4" width="28" customWidth="1"/>
    <col min="5" max="5" width="14" customWidth="1"/>
    <col min="6" max="6" width="8" customWidth="1"/>
    <col min="7" max="7" width="12" customWidth="1"/>
    <col min="8" max="8" width="32" customWidth="1"/>
    <col min="9" max="11" width="14" customWidth="1"/>
    <col min="12" max="12" width="12" customWidth="1"/>
    <col min="13" max="14" width="16" customWidth="1"/>
    <col min="15" max="15" width="12" customWidth="1"/>
    <col min="16" max="16" width="18" customWidth="1"/>
    <col min="17" max="17" width="16" customWidth="1"/>
    <col min="18" max="18" width="12" customWidth="1"/>
  </cols>
  <sheetData>
    <row r="1" spans="1:18" ht="27.75" customHeight="1">
      <c r="A1" s="27" t="s">
        <v>153</v>
      </c>
      <c r="B1" s="27" t="s">
        <v>154</v>
      </c>
      <c r="C1" s="27" t="s">
        <v>16</v>
      </c>
      <c r="D1" s="27" t="s">
        <v>155</v>
      </c>
      <c r="E1" s="27" t="s">
        <v>156</v>
      </c>
      <c r="F1" s="27" t="s">
        <v>157</v>
      </c>
      <c r="G1" s="27" t="s">
        <v>158</v>
      </c>
      <c r="H1" s="27" t="s">
        <v>159</v>
      </c>
      <c r="I1" s="27" t="s">
        <v>92</v>
      </c>
      <c r="J1" s="27" t="s">
        <v>93</v>
      </c>
      <c r="K1" s="27" t="s">
        <v>160</v>
      </c>
      <c r="L1" s="27" t="s">
        <v>161</v>
      </c>
      <c r="M1" s="27" t="s">
        <v>162</v>
      </c>
      <c r="N1" s="27" t="s">
        <v>163</v>
      </c>
      <c r="O1" s="27" t="s">
        <v>164</v>
      </c>
      <c r="P1" s="27" t="s">
        <v>165</v>
      </c>
      <c r="Q1" s="27" t="s">
        <v>166</v>
      </c>
      <c r="R1" s="27" t="s">
        <v>22</v>
      </c>
    </row>
    <row r="2" spans="1:18">
      <c r="A2" s="16" t="s">
        <v>167</v>
      </c>
      <c r="B2" s="16" t="s">
        <v>168</v>
      </c>
      <c r="C2" s="16" t="s">
        <v>23</v>
      </c>
      <c r="D2" s="16" t="s">
        <v>46</v>
      </c>
      <c r="E2" s="28" t="s">
        <v>169</v>
      </c>
      <c r="F2" s="16">
        <v>6</v>
      </c>
      <c r="G2" s="16">
        <v>34</v>
      </c>
      <c r="H2" s="16" t="s">
        <v>170</v>
      </c>
      <c r="I2" s="16" t="s">
        <v>171</v>
      </c>
      <c r="J2" s="16" t="s">
        <v>113</v>
      </c>
      <c r="K2" s="16" t="s">
        <v>129</v>
      </c>
      <c r="L2" s="16">
        <v>1284</v>
      </c>
      <c r="M2" s="16">
        <v>47</v>
      </c>
      <c r="N2" s="25" t="s">
        <v>66</v>
      </c>
      <c r="O2" s="30" t="s">
        <v>51</v>
      </c>
      <c r="P2" s="22" t="s">
        <v>52</v>
      </c>
      <c r="Q2" s="16" t="b">
        <f>TRUE()</f>
        <v>1</v>
      </c>
      <c r="R2" s="24" t="s">
        <v>172</v>
      </c>
    </row>
    <row r="3" spans="1:18">
      <c r="A3" s="18" t="s">
        <v>173</v>
      </c>
      <c r="B3" s="18" t="s">
        <v>174</v>
      </c>
      <c r="C3" s="18" t="s">
        <v>26</v>
      </c>
      <c r="D3" s="18" t="s">
        <v>53</v>
      </c>
      <c r="E3" s="28" t="s">
        <v>169</v>
      </c>
      <c r="F3" s="18">
        <v>4</v>
      </c>
      <c r="G3" s="18">
        <v>28</v>
      </c>
      <c r="H3" s="18" t="s">
        <v>111</v>
      </c>
      <c r="I3" s="18" t="s">
        <v>175</v>
      </c>
      <c r="J3" s="18" t="s">
        <v>113</v>
      </c>
      <c r="K3" s="18" t="s">
        <v>129</v>
      </c>
      <c r="L3" s="18">
        <v>2891</v>
      </c>
      <c r="M3" s="18">
        <v>112</v>
      </c>
      <c r="N3" s="26" t="s">
        <v>66</v>
      </c>
      <c r="O3" s="31" t="s">
        <v>51</v>
      </c>
      <c r="P3" s="24" t="s">
        <v>57</v>
      </c>
      <c r="Q3" s="18" t="b">
        <f>TRUE()</f>
        <v>1</v>
      </c>
      <c r="R3" s="24" t="s">
        <v>172</v>
      </c>
    </row>
    <row r="4" spans="1:18">
      <c r="A4" s="16" t="s">
        <v>176</v>
      </c>
      <c r="B4" s="16" t="s">
        <v>177</v>
      </c>
      <c r="C4" s="16" t="s">
        <v>27</v>
      </c>
      <c r="D4" s="16" t="s">
        <v>58</v>
      </c>
      <c r="E4" s="28" t="s">
        <v>169</v>
      </c>
      <c r="F4" s="16">
        <v>5</v>
      </c>
      <c r="G4" s="16">
        <v>22</v>
      </c>
      <c r="H4" s="16" t="s">
        <v>115</v>
      </c>
      <c r="I4" s="16" t="s">
        <v>178</v>
      </c>
      <c r="J4" s="16" t="s">
        <v>113</v>
      </c>
      <c r="K4" s="16" t="s">
        <v>129</v>
      </c>
      <c r="L4" s="16">
        <v>743</v>
      </c>
      <c r="M4" s="16">
        <v>38</v>
      </c>
      <c r="N4" s="25" t="s">
        <v>66</v>
      </c>
      <c r="O4" s="30" t="s">
        <v>51</v>
      </c>
      <c r="P4" s="24" t="s">
        <v>57</v>
      </c>
      <c r="Q4" s="16" t="b">
        <f>TRUE()</f>
        <v>1</v>
      </c>
      <c r="R4" s="24" t="s">
        <v>172</v>
      </c>
    </row>
    <row r="5" spans="1:18">
      <c r="A5" s="18" t="s">
        <v>179</v>
      </c>
      <c r="B5" s="18" t="s">
        <v>180</v>
      </c>
      <c r="C5" s="18" t="s">
        <v>31</v>
      </c>
      <c r="D5" s="18" t="s">
        <v>53</v>
      </c>
      <c r="E5" s="28" t="s">
        <v>169</v>
      </c>
      <c r="F5" s="18">
        <v>3</v>
      </c>
      <c r="G5" s="18">
        <v>19</v>
      </c>
      <c r="H5" s="18" t="s">
        <v>111</v>
      </c>
      <c r="I5" s="18" t="s">
        <v>181</v>
      </c>
      <c r="J5" s="18" t="s">
        <v>129</v>
      </c>
      <c r="K5" s="18" t="s">
        <v>129</v>
      </c>
      <c r="L5" s="18">
        <v>1102</v>
      </c>
      <c r="M5" s="18">
        <v>56</v>
      </c>
      <c r="N5" s="26" t="s">
        <v>66</v>
      </c>
      <c r="O5" s="31" t="s">
        <v>51</v>
      </c>
      <c r="P5" s="24" t="s">
        <v>57</v>
      </c>
      <c r="Q5" s="18" t="b">
        <f>FALSE()</f>
        <v>0</v>
      </c>
      <c r="R5" s="24" t="s">
        <v>172</v>
      </c>
    </row>
    <row r="6" spans="1:18">
      <c r="A6" s="16" t="s">
        <v>182</v>
      </c>
      <c r="B6" s="16" t="s">
        <v>183</v>
      </c>
      <c r="C6" s="16" t="s">
        <v>29</v>
      </c>
      <c r="D6" s="16" t="s">
        <v>46</v>
      </c>
      <c r="E6" s="28" t="s">
        <v>169</v>
      </c>
      <c r="F6" s="16">
        <v>2</v>
      </c>
      <c r="G6" s="16">
        <v>12</v>
      </c>
      <c r="H6" s="16" t="s">
        <v>127</v>
      </c>
      <c r="I6" s="16" t="s">
        <v>184</v>
      </c>
      <c r="J6" s="16" t="s">
        <v>129</v>
      </c>
      <c r="K6" s="16" t="s">
        <v>129</v>
      </c>
      <c r="L6" s="16">
        <v>412</v>
      </c>
      <c r="M6" s="16">
        <v>18</v>
      </c>
      <c r="N6" s="25" t="s">
        <v>66</v>
      </c>
      <c r="O6" s="30" t="s">
        <v>51</v>
      </c>
      <c r="P6" s="29" t="s">
        <v>185</v>
      </c>
      <c r="Q6" s="16" t="b">
        <f>TRUE()</f>
        <v>1</v>
      </c>
      <c r="R6" s="24" t="s">
        <v>172</v>
      </c>
    </row>
    <row r="7" spans="1:18">
      <c r="A7" s="18" t="s">
        <v>186</v>
      </c>
      <c r="B7" s="18" t="s">
        <v>187</v>
      </c>
      <c r="C7" s="18" t="s">
        <v>27</v>
      </c>
      <c r="D7" s="18" t="s">
        <v>58</v>
      </c>
      <c r="E7" s="28" t="s">
        <v>169</v>
      </c>
      <c r="F7" s="18">
        <v>4</v>
      </c>
      <c r="G7" s="18">
        <v>24</v>
      </c>
      <c r="H7" s="18" t="s">
        <v>115</v>
      </c>
      <c r="I7" s="18" t="s">
        <v>188</v>
      </c>
      <c r="J7" s="18" t="s">
        <v>125</v>
      </c>
      <c r="K7" s="18" t="s">
        <v>129</v>
      </c>
      <c r="L7" s="18">
        <v>598</v>
      </c>
      <c r="M7" s="18">
        <v>29</v>
      </c>
      <c r="N7" s="26" t="s">
        <v>66</v>
      </c>
      <c r="O7" s="26" t="s">
        <v>66</v>
      </c>
      <c r="P7" s="24" t="s">
        <v>57</v>
      </c>
      <c r="Q7" s="18" t="b">
        <f>FALSE()</f>
        <v>0</v>
      </c>
      <c r="R7" s="24" t="s">
        <v>172</v>
      </c>
    </row>
    <row r="8" spans="1:18">
      <c r="A8" s="16" t="s">
        <v>189</v>
      </c>
      <c r="B8" s="16" t="s">
        <v>190</v>
      </c>
      <c r="C8" s="16" t="s">
        <v>26</v>
      </c>
      <c r="D8" s="16" t="s">
        <v>53</v>
      </c>
      <c r="E8" s="28" t="s">
        <v>169</v>
      </c>
      <c r="F8" s="16">
        <v>3</v>
      </c>
      <c r="G8" s="16">
        <v>18</v>
      </c>
      <c r="H8" s="16" t="s">
        <v>144</v>
      </c>
      <c r="I8" s="16" t="s">
        <v>191</v>
      </c>
      <c r="J8" s="16" t="s">
        <v>192</v>
      </c>
      <c r="K8" s="16" t="s">
        <v>125</v>
      </c>
      <c r="L8" s="16">
        <v>387</v>
      </c>
      <c r="M8" s="16">
        <v>22</v>
      </c>
      <c r="N8" s="25" t="s">
        <v>66</v>
      </c>
      <c r="O8" s="30" t="s">
        <v>51</v>
      </c>
      <c r="P8" s="24" t="s">
        <v>57</v>
      </c>
      <c r="Q8" s="16" t="b">
        <f>FALSE()</f>
        <v>0</v>
      </c>
      <c r="R8" s="24" t="s">
        <v>172</v>
      </c>
    </row>
    <row r="9" spans="1:18">
      <c r="A9" s="18" t="s">
        <v>193</v>
      </c>
      <c r="B9" s="18" t="s">
        <v>194</v>
      </c>
      <c r="C9" s="18" t="s">
        <v>28</v>
      </c>
      <c r="D9" s="18" t="s">
        <v>46</v>
      </c>
      <c r="E9" s="28" t="s">
        <v>169</v>
      </c>
      <c r="F9" s="18">
        <v>5</v>
      </c>
      <c r="G9" s="18">
        <v>31</v>
      </c>
      <c r="H9" s="18" t="s">
        <v>123</v>
      </c>
      <c r="I9" s="18" t="s">
        <v>195</v>
      </c>
      <c r="J9" s="18" t="s">
        <v>113</v>
      </c>
      <c r="K9" s="18" t="s">
        <v>129</v>
      </c>
      <c r="L9" s="18">
        <v>924</v>
      </c>
      <c r="M9" s="18">
        <v>41</v>
      </c>
      <c r="N9" s="26" t="s">
        <v>66</v>
      </c>
      <c r="O9" s="31" t="s">
        <v>51</v>
      </c>
      <c r="P9" s="29" t="s">
        <v>185</v>
      </c>
      <c r="Q9" s="18" t="b">
        <f>TRUE()</f>
        <v>1</v>
      </c>
      <c r="R9" s="24" t="s">
        <v>172</v>
      </c>
    </row>
    <row r="10" spans="1:18">
      <c r="A10" s="16" t="s">
        <v>196</v>
      </c>
      <c r="B10" s="16" t="s">
        <v>197</v>
      </c>
      <c r="C10" s="16" t="s">
        <v>28</v>
      </c>
      <c r="D10" s="16" t="s">
        <v>67</v>
      </c>
      <c r="E10" s="28" t="s">
        <v>169</v>
      </c>
      <c r="F10" s="16">
        <v>3</v>
      </c>
      <c r="G10" s="16">
        <v>16</v>
      </c>
      <c r="H10" s="16" t="s">
        <v>123</v>
      </c>
      <c r="I10" s="16" t="s">
        <v>198</v>
      </c>
      <c r="J10" s="16" t="s">
        <v>109</v>
      </c>
      <c r="K10" s="16" t="s">
        <v>140</v>
      </c>
      <c r="L10" s="16">
        <v>234</v>
      </c>
      <c r="M10" s="16">
        <v>19</v>
      </c>
      <c r="N10" s="25" t="s">
        <v>66</v>
      </c>
      <c r="O10" s="30" t="s">
        <v>51</v>
      </c>
      <c r="P10" s="22" t="s">
        <v>52</v>
      </c>
      <c r="Q10" s="16" t="b">
        <f>FALSE()</f>
        <v>0</v>
      </c>
      <c r="R10" s="24" t="s">
        <v>172</v>
      </c>
    </row>
    <row r="11" spans="1:18">
      <c r="A11" s="18" t="s">
        <v>199</v>
      </c>
      <c r="B11" s="18" t="s">
        <v>200</v>
      </c>
      <c r="C11" s="18" t="s">
        <v>30</v>
      </c>
      <c r="D11" s="18" t="s">
        <v>62</v>
      </c>
      <c r="E11" s="28" t="s">
        <v>169</v>
      </c>
      <c r="F11" s="18">
        <v>4</v>
      </c>
      <c r="G11" s="18">
        <v>21</v>
      </c>
      <c r="H11" s="18" t="s">
        <v>119</v>
      </c>
      <c r="I11" s="18" t="s">
        <v>201</v>
      </c>
      <c r="J11" s="18" t="s">
        <v>109</v>
      </c>
      <c r="K11" s="18" t="s">
        <v>129</v>
      </c>
      <c r="L11" s="18">
        <v>156</v>
      </c>
      <c r="M11" s="18">
        <v>11</v>
      </c>
      <c r="N11" s="26" t="s">
        <v>66</v>
      </c>
      <c r="O11" s="31" t="s">
        <v>51</v>
      </c>
      <c r="P11" s="22" t="s">
        <v>52</v>
      </c>
      <c r="Q11" s="18" t="b">
        <f>FALSE()</f>
        <v>0</v>
      </c>
      <c r="R11" s="24" t="s">
        <v>172</v>
      </c>
    </row>
    <row r="12" spans="1:18">
      <c r="A12" s="16" t="s">
        <v>202</v>
      </c>
      <c r="B12" s="16" t="s">
        <v>203</v>
      </c>
      <c r="C12" s="16" t="s">
        <v>31</v>
      </c>
      <c r="D12" s="16" t="s">
        <v>71</v>
      </c>
      <c r="E12" s="28" t="s">
        <v>169</v>
      </c>
      <c r="F12" s="16">
        <v>4</v>
      </c>
      <c r="G12" s="16">
        <v>23</v>
      </c>
      <c r="H12" s="16" t="s">
        <v>147</v>
      </c>
      <c r="I12" s="16" t="s">
        <v>204</v>
      </c>
      <c r="J12" s="16" t="s">
        <v>140</v>
      </c>
      <c r="K12" s="16" t="s">
        <v>205</v>
      </c>
      <c r="L12" s="16">
        <v>89</v>
      </c>
      <c r="M12" s="16">
        <v>8</v>
      </c>
      <c r="N12" s="25" t="s">
        <v>66</v>
      </c>
      <c r="O12" s="25" t="s">
        <v>66</v>
      </c>
      <c r="P12" s="24" t="s">
        <v>57</v>
      </c>
      <c r="Q12" s="16" t="b">
        <f>FALSE()</f>
        <v>0</v>
      </c>
      <c r="R12" s="24" t="s">
        <v>172</v>
      </c>
    </row>
    <row r="13" spans="1:18">
      <c r="A13" s="18" t="s">
        <v>206</v>
      </c>
      <c r="B13" s="18" t="s">
        <v>207</v>
      </c>
      <c r="C13" s="18" t="s">
        <v>31</v>
      </c>
      <c r="D13" s="18" t="s">
        <v>53</v>
      </c>
      <c r="E13" s="28" t="s">
        <v>169</v>
      </c>
      <c r="F13" s="18">
        <v>3</v>
      </c>
      <c r="G13" s="18">
        <v>17</v>
      </c>
      <c r="H13" s="18" t="s">
        <v>111</v>
      </c>
      <c r="I13" s="18" t="s">
        <v>208</v>
      </c>
      <c r="J13" s="18" t="s">
        <v>129</v>
      </c>
      <c r="K13" s="18" t="s">
        <v>129</v>
      </c>
      <c r="L13" s="18">
        <v>672</v>
      </c>
      <c r="M13" s="18">
        <v>34</v>
      </c>
      <c r="N13" s="26" t="s">
        <v>66</v>
      </c>
      <c r="O13" s="31" t="s">
        <v>51</v>
      </c>
      <c r="P13" s="24" t="s">
        <v>57</v>
      </c>
      <c r="Q13" s="18" t="b">
        <f>FALSE()</f>
        <v>0</v>
      </c>
      <c r="R13" s="24" t="s">
        <v>172</v>
      </c>
    </row>
    <row r="14" spans="1:18">
      <c r="A14" s="16" t="s">
        <v>209</v>
      </c>
      <c r="B14" s="16" t="s">
        <v>210</v>
      </c>
      <c r="C14" s="16" t="s">
        <v>23</v>
      </c>
      <c r="D14" s="16" t="s">
        <v>46</v>
      </c>
      <c r="E14" s="28" t="s">
        <v>169</v>
      </c>
      <c r="F14" s="16">
        <v>4</v>
      </c>
      <c r="G14" s="16">
        <v>26</v>
      </c>
      <c r="H14" s="16" t="s">
        <v>170</v>
      </c>
      <c r="I14" s="16" t="s">
        <v>211</v>
      </c>
      <c r="J14" s="16" t="s">
        <v>129</v>
      </c>
      <c r="K14" s="16" t="s">
        <v>129</v>
      </c>
      <c r="L14" s="16">
        <v>511</v>
      </c>
      <c r="M14" s="16">
        <v>28</v>
      </c>
      <c r="N14" s="25" t="s">
        <v>66</v>
      </c>
      <c r="O14" s="30" t="s">
        <v>51</v>
      </c>
      <c r="P14" s="22" t="s">
        <v>52</v>
      </c>
      <c r="Q14" s="16" t="b">
        <f>TRUE()</f>
        <v>1</v>
      </c>
      <c r="R14" s="24" t="s">
        <v>172</v>
      </c>
    </row>
    <row r="15" spans="1:18">
      <c r="A15" s="18" t="s">
        <v>212</v>
      </c>
      <c r="B15" s="18" t="s">
        <v>213</v>
      </c>
      <c r="C15" s="18" t="s">
        <v>27</v>
      </c>
      <c r="D15" s="18" t="s">
        <v>58</v>
      </c>
      <c r="E15" s="28" t="s">
        <v>169</v>
      </c>
      <c r="F15" s="18">
        <v>3</v>
      </c>
      <c r="G15" s="18">
        <v>15</v>
      </c>
      <c r="H15" s="18" t="s">
        <v>115</v>
      </c>
      <c r="I15" s="18" t="s">
        <v>214</v>
      </c>
      <c r="J15" s="18" t="s">
        <v>140</v>
      </c>
      <c r="K15" s="18" t="s">
        <v>125</v>
      </c>
      <c r="L15" s="18">
        <v>198</v>
      </c>
      <c r="M15" s="18">
        <v>14</v>
      </c>
      <c r="N15" s="26" t="s">
        <v>66</v>
      </c>
      <c r="O15" s="26" t="s">
        <v>66</v>
      </c>
      <c r="P15" s="24" t="s">
        <v>57</v>
      </c>
      <c r="Q15" s="18" t="b">
        <f>FALSE()</f>
        <v>0</v>
      </c>
      <c r="R15" s="24" t="s">
        <v>172</v>
      </c>
    </row>
    <row r="16" spans="1:18">
      <c r="A16" s="16" t="s">
        <v>215</v>
      </c>
      <c r="B16" s="16" t="s">
        <v>216</v>
      </c>
      <c r="C16" s="16" t="s">
        <v>31</v>
      </c>
      <c r="D16" s="16" t="s">
        <v>75</v>
      </c>
      <c r="E16" s="28" t="s">
        <v>169</v>
      </c>
      <c r="F16" s="16">
        <v>3</v>
      </c>
      <c r="G16" s="16">
        <v>14</v>
      </c>
      <c r="H16" s="16" t="s">
        <v>144</v>
      </c>
      <c r="I16" s="16" t="s">
        <v>217</v>
      </c>
      <c r="J16" s="16" t="s">
        <v>218</v>
      </c>
      <c r="K16" s="16" t="s">
        <v>205</v>
      </c>
      <c r="L16" s="16">
        <v>67</v>
      </c>
      <c r="M16" s="16">
        <v>7</v>
      </c>
      <c r="N16" s="25" t="s">
        <v>66</v>
      </c>
      <c r="O16" s="25" t="s">
        <v>66</v>
      </c>
      <c r="P16" s="24" t="s">
        <v>57</v>
      </c>
      <c r="Q16" s="16" t="b">
        <f>FALSE()</f>
        <v>0</v>
      </c>
      <c r="R16" s="22" t="s">
        <v>219</v>
      </c>
    </row>
    <row r="17" spans="1:18">
      <c r="A17" s="18" t="s">
        <v>220</v>
      </c>
      <c r="B17" s="18" t="s">
        <v>221</v>
      </c>
      <c r="C17" s="18" t="s">
        <v>31</v>
      </c>
      <c r="D17" s="18" t="s">
        <v>80</v>
      </c>
      <c r="E17" s="28" t="s">
        <v>169</v>
      </c>
      <c r="F17" s="18">
        <v>4</v>
      </c>
      <c r="G17" s="18">
        <v>20</v>
      </c>
      <c r="H17" s="18" t="s">
        <v>147</v>
      </c>
      <c r="I17" s="18" t="s">
        <v>222</v>
      </c>
      <c r="J17" s="18" t="s">
        <v>205</v>
      </c>
      <c r="K17" s="18" t="s">
        <v>205</v>
      </c>
      <c r="L17" s="18">
        <v>43</v>
      </c>
      <c r="M17" s="18">
        <v>5</v>
      </c>
      <c r="N17" s="26" t="s">
        <v>66</v>
      </c>
      <c r="O17" s="26" t="s">
        <v>66</v>
      </c>
      <c r="P17" s="24" t="s">
        <v>57</v>
      </c>
      <c r="Q17" s="18" t="b">
        <f>FALSE()</f>
        <v>0</v>
      </c>
      <c r="R17" s="22" t="s">
        <v>219</v>
      </c>
    </row>
    <row r="18" spans="1:18">
      <c r="A18" s="16" t="s">
        <v>223</v>
      </c>
      <c r="B18" s="16" t="s">
        <v>224</v>
      </c>
      <c r="C18" s="16" t="s">
        <v>27</v>
      </c>
      <c r="D18" s="16" t="s">
        <v>58</v>
      </c>
      <c r="E18" s="28" t="s">
        <v>169</v>
      </c>
      <c r="F18" s="16">
        <v>2</v>
      </c>
      <c r="G18" s="16">
        <v>11</v>
      </c>
      <c r="H18" s="16" t="s">
        <v>115</v>
      </c>
      <c r="I18" s="16" t="s">
        <v>225</v>
      </c>
      <c r="J18" s="16" t="s">
        <v>226</v>
      </c>
      <c r="K18" s="16" t="s">
        <v>208</v>
      </c>
      <c r="L18" s="16">
        <v>12</v>
      </c>
      <c r="M18" s="16">
        <v>3</v>
      </c>
      <c r="N18" s="25" t="s">
        <v>66</v>
      </c>
      <c r="O18" s="25" t="s">
        <v>66</v>
      </c>
      <c r="P18" s="24" t="s">
        <v>57</v>
      </c>
      <c r="Q18" s="16" t="b">
        <f>FALSE()</f>
        <v>0</v>
      </c>
      <c r="R18" s="24" t="s">
        <v>172</v>
      </c>
    </row>
    <row r="19" spans="1:18">
      <c r="A19" s="18" t="s">
        <v>227</v>
      </c>
      <c r="B19" s="18" t="s">
        <v>228</v>
      </c>
      <c r="C19" s="18" t="s">
        <v>26</v>
      </c>
      <c r="D19" s="18" t="s">
        <v>53</v>
      </c>
      <c r="E19" s="28" t="s">
        <v>169</v>
      </c>
      <c r="F19" s="18">
        <v>2</v>
      </c>
      <c r="G19" s="18">
        <v>9</v>
      </c>
      <c r="H19" s="18" t="s">
        <v>111</v>
      </c>
      <c r="I19" s="18" t="s">
        <v>229</v>
      </c>
      <c r="J19" s="18" t="s">
        <v>129</v>
      </c>
      <c r="K19" s="18" t="s">
        <v>129</v>
      </c>
      <c r="L19" s="18">
        <v>3204</v>
      </c>
      <c r="M19" s="18">
        <v>89</v>
      </c>
      <c r="N19" s="26" t="s">
        <v>66</v>
      </c>
      <c r="O19" s="26" t="s">
        <v>66</v>
      </c>
      <c r="P19" s="24" t="s">
        <v>57</v>
      </c>
      <c r="Q19" s="18" t="b">
        <f>FALSE()</f>
        <v>0</v>
      </c>
      <c r="R19" s="24" t="s">
        <v>172</v>
      </c>
    </row>
    <row r="20" spans="1:18">
      <c r="A20" s="16" t="s">
        <v>230</v>
      </c>
      <c r="B20" s="16" t="s">
        <v>231</v>
      </c>
      <c r="C20" s="16" t="s">
        <v>31</v>
      </c>
      <c r="D20" s="16" t="s">
        <v>232</v>
      </c>
      <c r="E20" s="28" t="s">
        <v>169</v>
      </c>
      <c r="F20" s="16">
        <v>3</v>
      </c>
      <c r="G20" s="16">
        <v>16</v>
      </c>
      <c r="H20" s="16" t="s">
        <v>233</v>
      </c>
      <c r="I20" s="16" t="s">
        <v>234</v>
      </c>
      <c r="J20" s="16" t="s">
        <v>205</v>
      </c>
      <c r="K20" s="16" t="s">
        <v>105</v>
      </c>
      <c r="L20" s="16">
        <v>145</v>
      </c>
      <c r="M20" s="16">
        <v>22</v>
      </c>
      <c r="N20" s="25" t="s">
        <v>66</v>
      </c>
      <c r="O20" s="30" t="s">
        <v>51</v>
      </c>
      <c r="P20" s="22" t="s">
        <v>52</v>
      </c>
      <c r="Q20" s="16" t="b">
        <f>FALSE()</f>
        <v>0</v>
      </c>
      <c r="R20" s="24" t="s">
        <v>172</v>
      </c>
    </row>
    <row r="21" spans="1:18">
      <c r="A21" s="18" t="s">
        <v>235</v>
      </c>
      <c r="B21" s="18" t="s">
        <v>236</v>
      </c>
      <c r="C21" s="18" t="s">
        <v>27</v>
      </c>
      <c r="D21" s="18" t="s">
        <v>71</v>
      </c>
      <c r="E21" s="28" t="s">
        <v>169</v>
      </c>
      <c r="F21" s="18">
        <v>3</v>
      </c>
      <c r="G21" s="18">
        <v>18</v>
      </c>
      <c r="H21" s="18" t="s">
        <v>115</v>
      </c>
      <c r="I21" s="18" t="s">
        <v>222</v>
      </c>
      <c r="J21" s="18" t="s">
        <v>192</v>
      </c>
      <c r="K21" s="18" t="s">
        <v>113</v>
      </c>
      <c r="L21" s="18">
        <v>289</v>
      </c>
      <c r="M21" s="18">
        <v>17</v>
      </c>
      <c r="N21" s="26" t="s">
        <v>66</v>
      </c>
      <c r="O21" s="26" t="s">
        <v>66</v>
      </c>
      <c r="P21" s="24" t="s">
        <v>57</v>
      </c>
      <c r="Q21" s="18" t="b">
        <f>FALSE()</f>
        <v>0</v>
      </c>
      <c r="R21" s="24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1:X13"/>
  <sheetViews>
    <sheetView showGridLines="0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0" customWidth="1"/>
    <col min="2" max="3" width="30" customWidth="1"/>
    <col min="4" max="5" width="14" customWidth="1"/>
    <col min="6" max="6" width="38" customWidth="1"/>
    <col min="7" max="7" width="22" customWidth="1"/>
    <col min="8" max="8" width="10" customWidth="1"/>
    <col min="9" max="9" width="12" customWidth="1"/>
    <col min="10" max="10" width="18" customWidth="1"/>
    <col min="11" max="11" width="16" customWidth="1"/>
    <col min="12" max="12" width="10" customWidth="1"/>
    <col min="13" max="13" width="32" customWidth="1"/>
    <col min="14" max="14" width="14" customWidth="1"/>
    <col min="15" max="15" width="18" customWidth="1"/>
    <col min="16" max="16" width="14" customWidth="1"/>
    <col min="17" max="17" width="20" customWidth="1"/>
    <col min="18" max="18" width="14" customWidth="1"/>
    <col min="19" max="20" width="12" customWidth="1"/>
    <col min="21" max="21" width="16" customWidth="1"/>
    <col min="22" max="22" width="20" customWidth="1"/>
    <col min="23" max="23" width="16" customWidth="1"/>
    <col min="24" max="24" width="12" customWidth="1"/>
  </cols>
  <sheetData>
    <row r="1" spans="1:24" ht="27.75" customHeight="1">
      <c r="A1" s="27" t="s">
        <v>237</v>
      </c>
      <c r="B1" s="27" t="s">
        <v>155</v>
      </c>
      <c r="C1" s="27" t="s">
        <v>16</v>
      </c>
      <c r="D1" s="27" t="s">
        <v>238</v>
      </c>
      <c r="E1" s="27" t="s">
        <v>239</v>
      </c>
      <c r="F1" s="27" t="s">
        <v>240</v>
      </c>
      <c r="G1" s="27" t="s">
        <v>241</v>
      </c>
      <c r="H1" s="27" t="s">
        <v>242</v>
      </c>
      <c r="I1" s="27" t="s">
        <v>243</v>
      </c>
      <c r="J1" s="27" t="s">
        <v>244</v>
      </c>
      <c r="K1" s="27" t="s">
        <v>245</v>
      </c>
      <c r="L1" s="27" t="s">
        <v>246</v>
      </c>
      <c r="M1" s="27" t="s">
        <v>159</v>
      </c>
      <c r="N1" s="27" t="s">
        <v>92</v>
      </c>
      <c r="O1" s="27" t="s">
        <v>41</v>
      </c>
      <c r="P1" s="27" t="s">
        <v>247</v>
      </c>
      <c r="Q1" s="27" t="s">
        <v>248</v>
      </c>
      <c r="R1" s="27" t="s">
        <v>40</v>
      </c>
      <c r="S1" s="27" t="s">
        <v>249</v>
      </c>
      <c r="T1" s="27" t="s">
        <v>250</v>
      </c>
      <c r="U1" s="27" t="s">
        <v>251</v>
      </c>
      <c r="V1" s="27" t="s">
        <v>252</v>
      </c>
      <c r="W1" s="27" t="s">
        <v>253</v>
      </c>
      <c r="X1" s="27" t="s">
        <v>94</v>
      </c>
    </row>
    <row r="2" spans="1:24">
      <c r="A2" s="16" t="s">
        <v>254</v>
      </c>
      <c r="B2" s="16" t="s">
        <v>46</v>
      </c>
      <c r="C2" s="16" t="s">
        <v>23</v>
      </c>
      <c r="D2" s="28" t="s">
        <v>255</v>
      </c>
      <c r="E2" s="16" t="s">
        <v>256</v>
      </c>
      <c r="F2" s="16" t="s">
        <v>257</v>
      </c>
      <c r="G2" s="16" t="s">
        <v>258</v>
      </c>
      <c r="H2" s="16">
        <v>8</v>
      </c>
      <c r="I2" s="16">
        <v>47</v>
      </c>
      <c r="J2" s="16">
        <v>12</v>
      </c>
      <c r="K2" s="16">
        <v>14</v>
      </c>
      <c r="L2" s="16">
        <v>3</v>
      </c>
      <c r="M2" s="16" t="s">
        <v>170</v>
      </c>
      <c r="N2" s="16" t="s">
        <v>259</v>
      </c>
      <c r="O2" s="16" t="s">
        <v>260</v>
      </c>
      <c r="P2" s="16" t="s">
        <v>49</v>
      </c>
      <c r="Q2" s="16">
        <v>18</v>
      </c>
      <c r="R2" s="17" t="s">
        <v>261</v>
      </c>
      <c r="S2" s="23" t="s">
        <v>51</v>
      </c>
      <c r="T2" s="23" t="s">
        <v>51</v>
      </c>
      <c r="U2" s="16" t="b">
        <f>TRUE()</f>
        <v>1</v>
      </c>
      <c r="V2" s="16" t="s">
        <v>262</v>
      </c>
      <c r="W2" s="16">
        <v>1240</v>
      </c>
      <c r="X2" s="16">
        <v>4</v>
      </c>
    </row>
    <row r="3" spans="1:24">
      <c r="A3" s="18" t="s">
        <v>263</v>
      </c>
      <c r="B3" s="18" t="s">
        <v>53</v>
      </c>
      <c r="C3" s="18" t="s">
        <v>26</v>
      </c>
      <c r="D3" s="22" t="s">
        <v>264</v>
      </c>
      <c r="E3" s="18" t="s">
        <v>265</v>
      </c>
      <c r="F3" s="18" t="s">
        <v>266</v>
      </c>
      <c r="G3" s="18" t="s">
        <v>267</v>
      </c>
      <c r="H3" s="18">
        <v>12</v>
      </c>
      <c r="I3" s="18">
        <v>63</v>
      </c>
      <c r="J3" s="18">
        <v>18</v>
      </c>
      <c r="K3" s="18">
        <v>22</v>
      </c>
      <c r="L3" s="18">
        <v>4</v>
      </c>
      <c r="M3" s="18" t="s">
        <v>111</v>
      </c>
      <c r="N3" s="18" t="s">
        <v>268</v>
      </c>
      <c r="O3" s="18" t="s">
        <v>269</v>
      </c>
      <c r="P3" s="18" t="s">
        <v>55</v>
      </c>
      <c r="Q3" s="18">
        <v>3</v>
      </c>
      <c r="R3" s="17" t="s">
        <v>261</v>
      </c>
      <c r="S3" s="21" t="s">
        <v>51</v>
      </c>
      <c r="T3" s="21" t="s">
        <v>51</v>
      </c>
      <c r="U3" s="18" t="b">
        <f>FALSE()</f>
        <v>0</v>
      </c>
      <c r="V3" s="18"/>
      <c r="W3" s="18">
        <v>890</v>
      </c>
      <c r="X3" s="18">
        <v>5</v>
      </c>
    </row>
    <row r="4" spans="1:24">
      <c r="A4" s="16" t="s">
        <v>270</v>
      </c>
      <c r="B4" s="16" t="s">
        <v>58</v>
      </c>
      <c r="C4" s="16" t="s">
        <v>27</v>
      </c>
      <c r="D4" s="28" t="s">
        <v>255</v>
      </c>
      <c r="E4" s="16" t="s">
        <v>256</v>
      </c>
      <c r="F4" s="16" t="s">
        <v>257</v>
      </c>
      <c r="G4" s="16" t="s">
        <v>271</v>
      </c>
      <c r="H4" s="16">
        <v>10</v>
      </c>
      <c r="I4" s="16">
        <v>38</v>
      </c>
      <c r="J4" s="16">
        <v>9</v>
      </c>
      <c r="K4" s="16">
        <v>17</v>
      </c>
      <c r="L4" s="16">
        <v>2</v>
      </c>
      <c r="M4" s="16" t="s">
        <v>115</v>
      </c>
      <c r="N4" s="16" t="s">
        <v>272</v>
      </c>
      <c r="O4" s="16" t="s">
        <v>273</v>
      </c>
      <c r="P4" s="16" t="s">
        <v>60</v>
      </c>
      <c r="Q4" s="16">
        <v>22</v>
      </c>
      <c r="R4" s="17" t="s">
        <v>261</v>
      </c>
      <c r="S4" s="23" t="s">
        <v>51</v>
      </c>
      <c r="T4" s="23" t="s">
        <v>51</v>
      </c>
      <c r="U4" s="16" t="b">
        <f>TRUE()</f>
        <v>1</v>
      </c>
      <c r="V4" s="16" t="s">
        <v>262</v>
      </c>
      <c r="W4" s="16">
        <v>672</v>
      </c>
      <c r="X4" s="16">
        <v>4</v>
      </c>
    </row>
    <row r="5" spans="1:24">
      <c r="A5" s="18" t="s">
        <v>274</v>
      </c>
      <c r="B5" s="18" t="s">
        <v>62</v>
      </c>
      <c r="C5" s="18" t="s">
        <v>30</v>
      </c>
      <c r="D5" s="28" t="s">
        <v>255</v>
      </c>
      <c r="E5" s="18" t="s">
        <v>275</v>
      </c>
      <c r="F5" s="18" t="s">
        <v>276</v>
      </c>
      <c r="G5" s="18" t="s">
        <v>277</v>
      </c>
      <c r="H5" s="18">
        <v>4</v>
      </c>
      <c r="I5" s="18">
        <v>15</v>
      </c>
      <c r="J5" s="18">
        <v>6</v>
      </c>
      <c r="K5" s="18">
        <v>5</v>
      </c>
      <c r="L5" s="18">
        <v>1</v>
      </c>
      <c r="M5" s="18" t="s">
        <v>119</v>
      </c>
      <c r="N5" s="18" t="s">
        <v>278</v>
      </c>
      <c r="O5" s="18" t="s">
        <v>279</v>
      </c>
      <c r="P5" s="18" t="s">
        <v>64</v>
      </c>
      <c r="Q5" s="18">
        <v>45</v>
      </c>
      <c r="R5" s="17" t="s">
        <v>261</v>
      </c>
      <c r="S5" s="26" t="s">
        <v>66</v>
      </c>
      <c r="T5" s="21" t="s">
        <v>51</v>
      </c>
      <c r="U5" s="18" t="b">
        <f>FALSE()</f>
        <v>0</v>
      </c>
      <c r="V5" s="18"/>
      <c r="W5" s="18">
        <v>234</v>
      </c>
      <c r="X5" s="18">
        <v>2</v>
      </c>
    </row>
    <row r="6" spans="1:24">
      <c r="A6" s="16" t="s">
        <v>280</v>
      </c>
      <c r="B6" s="16" t="s">
        <v>67</v>
      </c>
      <c r="C6" s="16" t="s">
        <v>28</v>
      </c>
      <c r="D6" s="28" t="s">
        <v>255</v>
      </c>
      <c r="E6" s="16" t="s">
        <v>256</v>
      </c>
      <c r="F6" s="16" t="s">
        <v>257</v>
      </c>
      <c r="G6" s="16" t="s">
        <v>281</v>
      </c>
      <c r="H6" s="16">
        <v>6</v>
      </c>
      <c r="I6" s="16">
        <v>22</v>
      </c>
      <c r="J6" s="16">
        <v>4</v>
      </c>
      <c r="K6" s="16">
        <v>9</v>
      </c>
      <c r="L6" s="16">
        <v>3</v>
      </c>
      <c r="M6" s="16" t="s">
        <v>123</v>
      </c>
      <c r="N6" s="16" t="s">
        <v>282</v>
      </c>
      <c r="O6" s="16" t="s">
        <v>283</v>
      </c>
      <c r="P6" s="16" t="s">
        <v>284</v>
      </c>
      <c r="Q6" s="16">
        <v>31</v>
      </c>
      <c r="R6" s="17" t="s">
        <v>261</v>
      </c>
      <c r="S6" s="23" t="s">
        <v>51</v>
      </c>
      <c r="T6" s="25" t="s">
        <v>66</v>
      </c>
      <c r="U6" s="16" t="b">
        <f>TRUE()</f>
        <v>1</v>
      </c>
      <c r="V6" s="16" t="s">
        <v>262</v>
      </c>
      <c r="W6" s="16">
        <v>318</v>
      </c>
      <c r="X6" s="16">
        <v>2</v>
      </c>
    </row>
    <row r="7" spans="1:24">
      <c r="A7" s="18" t="s">
        <v>285</v>
      </c>
      <c r="B7" s="18" t="s">
        <v>71</v>
      </c>
      <c r="C7" s="18" t="s">
        <v>31</v>
      </c>
      <c r="D7" s="28" t="s">
        <v>255</v>
      </c>
      <c r="E7" s="18" t="s">
        <v>256</v>
      </c>
      <c r="F7" s="18" t="s">
        <v>257</v>
      </c>
      <c r="G7" s="18" t="s">
        <v>286</v>
      </c>
      <c r="H7" s="18">
        <v>7</v>
      </c>
      <c r="I7" s="18">
        <v>29</v>
      </c>
      <c r="J7" s="18">
        <v>8</v>
      </c>
      <c r="K7" s="18">
        <v>11</v>
      </c>
      <c r="L7" s="18">
        <v>2</v>
      </c>
      <c r="M7" s="18" t="s">
        <v>147</v>
      </c>
      <c r="N7" s="18" t="s">
        <v>287</v>
      </c>
      <c r="O7" s="18" t="s">
        <v>288</v>
      </c>
      <c r="P7" s="18" t="s">
        <v>73</v>
      </c>
      <c r="Q7" s="18">
        <v>27</v>
      </c>
      <c r="R7" s="17" t="s">
        <v>261</v>
      </c>
      <c r="S7" s="26" t="s">
        <v>66</v>
      </c>
      <c r="T7" s="21" t="s">
        <v>51</v>
      </c>
      <c r="U7" s="18" t="b">
        <f>TRUE()</f>
        <v>1</v>
      </c>
      <c r="V7" s="18" t="s">
        <v>262</v>
      </c>
      <c r="W7" s="18">
        <v>445</v>
      </c>
      <c r="X7" s="18">
        <v>3</v>
      </c>
    </row>
    <row r="8" spans="1:24">
      <c r="A8" s="16" t="s">
        <v>289</v>
      </c>
      <c r="B8" s="16" t="s">
        <v>75</v>
      </c>
      <c r="C8" s="16" t="s">
        <v>31</v>
      </c>
      <c r="D8" s="28" t="s">
        <v>255</v>
      </c>
      <c r="E8" s="16" t="s">
        <v>290</v>
      </c>
      <c r="F8" s="16" t="s">
        <v>291</v>
      </c>
      <c r="G8" s="16" t="s">
        <v>292</v>
      </c>
      <c r="H8" s="16">
        <v>3</v>
      </c>
      <c r="I8" s="16">
        <v>14</v>
      </c>
      <c r="J8" s="16">
        <v>3</v>
      </c>
      <c r="K8" s="16">
        <v>4</v>
      </c>
      <c r="L8" s="16">
        <v>0</v>
      </c>
      <c r="M8" s="16" t="s">
        <v>144</v>
      </c>
      <c r="N8" s="16" t="s">
        <v>293</v>
      </c>
      <c r="O8" s="16" t="s">
        <v>294</v>
      </c>
      <c r="P8" s="16" t="s">
        <v>78</v>
      </c>
      <c r="Q8" s="16">
        <v>14</v>
      </c>
      <c r="R8" s="19" t="s">
        <v>295</v>
      </c>
      <c r="S8" s="25" t="s">
        <v>66</v>
      </c>
      <c r="T8" s="25" t="s">
        <v>66</v>
      </c>
      <c r="U8" s="16" t="b">
        <f>FALSE()</f>
        <v>0</v>
      </c>
      <c r="V8" s="16"/>
      <c r="W8" s="16">
        <v>112</v>
      </c>
      <c r="X8" s="16">
        <v>1</v>
      </c>
    </row>
    <row r="9" spans="1:24">
      <c r="A9" s="18" t="s">
        <v>296</v>
      </c>
      <c r="B9" s="18" t="s">
        <v>80</v>
      </c>
      <c r="C9" s="18" t="s">
        <v>31</v>
      </c>
      <c r="D9" s="28" t="s">
        <v>255</v>
      </c>
      <c r="E9" s="18" t="s">
        <v>256</v>
      </c>
      <c r="F9" s="18" t="s">
        <v>257</v>
      </c>
      <c r="G9" s="18" t="s">
        <v>297</v>
      </c>
      <c r="H9" s="18">
        <v>5</v>
      </c>
      <c r="I9" s="18">
        <v>19</v>
      </c>
      <c r="J9" s="18">
        <v>5</v>
      </c>
      <c r="K9" s="18">
        <v>8</v>
      </c>
      <c r="L9" s="18">
        <v>1</v>
      </c>
      <c r="M9" s="18" t="s">
        <v>147</v>
      </c>
      <c r="N9" s="18" t="s">
        <v>298</v>
      </c>
      <c r="O9" s="18" t="s">
        <v>299</v>
      </c>
      <c r="P9" s="18" t="s">
        <v>49</v>
      </c>
      <c r="Q9" s="18">
        <v>19</v>
      </c>
      <c r="R9" s="17" t="s">
        <v>261</v>
      </c>
      <c r="S9" s="26" t="s">
        <v>66</v>
      </c>
      <c r="T9" s="26" t="s">
        <v>66</v>
      </c>
      <c r="U9" s="18" t="b">
        <f>TRUE()</f>
        <v>1</v>
      </c>
      <c r="V9" s="18" t="s">
        <v>262</v>
      </c>
      <c r="W9" s="18">
        <v>198</v>
      </c>
      <c r="X9" s="18">
        <v>2</v>
      </c>
    </row>
    <row r="10" spans="1:24">
      <c r="A10" s="16" t="s">
        <v>300</v>
      </c>
      <c r="B10" s="16" t="s">
        <v>232</v>
      </c>
      <c r="C10" s="16" t="s">
        <v>31</v>
      </c>
      <c r="D10" s="28" t="s">
        <v>255</v>
      </c>
      <c r="E10" s="16" t="s">
        <v>301</v>
      </c>
      <c r="F10" s="16" t="s">
        <v>302</v>
      </c>
      <c r="G10" s="16" t="s">
        <v>303</v>
      </c>
      <c r="H10" s="16">
        <v>4</v>
      </c>
      <c r="I10" s="16">
        <v>11</v>
      </c>
      <c r="J10" s="16">
        <v>2</v>
      </c>
      <c r="K10" s="16">
        <v>3</v>
      </c>
      <c r="L10" s="16">
        <v>1</v>
      </c>
      <c r="M10" s="16" t="s">
        <v>233</v>
      </c>
      <c r="N10" s="16" t="s">
        <v>304</v>
      </c>
      <c r="O10" s="16" t="s">
        <v>305</v>
      </c>
      <c r="P10" s="16" t="s">
        <v>284</v>
      </c>
      <c r="Q10" s="16">
        <v>8</v>
      </c>
      <c r="R10" s="17" t="s">
        <v>261</v>
      </c>
      <c r="S10" s="25" t="s">
        <v>66</v>
      </c>
      <c r="T10" s="25" t="s">
        <v>66</v>
      </c>
      <c r="U10" s="16" t="b">
        <f>TRUE()</f>
        <v>1</v>
      </c>
      <c r="V10" s="16" t="s">
        <v>262</v>
      </c>
      <c r="W10" s="16">
        <v>67</v>
      </c>
      <c r="X10" s="16">
        <v>1</v>
      </c>
    </row>
    <row r="11" spans="1:24">
      <c r="A11" s="18" t="s">
        <v>306</v>
      </c>
      <c r="B11" s="18" t="s">
        <v>307</v>
      </c>
      <c r="C11" s="18" t="s">
        <v>29</v>
      </c>
      <c r="D11" s="28" t="s">
        <v>255</v>
      </c>
      <c r="E11" s="18" t="s">
        <v>256</v>
      </c>
      <c r="F11" s="18" t="s">
        <v>257</v>
      </c>
      <c r="G11" s="18" t="s">
        <v>308</v>
      </c>
      <c r="H11" s="18">
        <v>5</v>
      </c>
      <c r="I11" s="18">
        <v>28</v>
      </c>
      <c r="J11" s="18">
        <v>4</v>
      </c>
      <c r="K11" s="18">
        <v>8</v>
      </c>
      <c r="L11" s="18">
        <v>2</v>
      </c>
      <c r="M11" s="18" t="s">
        <v>127</v>
      </c>
      <c r="N11" s="18" t="s">
        <v>309</v>
      </c>
      <c r="O11" s="18" t="s">
        <v>310</v>
      </c>
      <c r="P11" s="18" t="s">
        <v>311</v>
      </c>
      <c r="Q11" s="18">
        <v>12</v>
      </c>
      <c r="R11" s="17" t="s">
        <v>261</v>
      </c>
      <c r="S11" s="21" t="s">
        <v>51</v>
      </c>
      <c r="T11" s="21" t="s">
        <v>51</v>
      </c>
      <c r="U11" s="18" t="b">
        <f>TRUE()</f>
        <v>1</v>
      </c>
      <c r="V11" s="18" t="s">
        <v>262</v>
      </c>
      <c r="W11" s="18">
        <v>421</v>
      </c>
      <c r="X11" s="18">
        <v>2</v>
      </c>
    </row>
    <row r="12" spans="1:24">
      <c r="A12" s="16" t="s">
        <v>312</v>
      </c>
      <c r="B12" s="16" t="s">
        <v>313</v>
      </c>
      <c r="C12" s="16" t="s">
        <v>131</v>
      </c>
      <c r="D12" s="28" t="s">
        <v>255</v>
      </c>
      <c r="E12" s="16" t="s">
        <v>256</v>
      </c>
      <c r="F12" s="16" t="s">
        <v>314</v>
      </c>
      <c r="G12" s="16" t="s">
        <v>315</v>
      </c>
      <c r="H12" s="16">
        <v>8</v>
      </c>
      <c r="I12" s="16">
        <v>44</v>
      </c>
      <c r="J12" s="16">
        <v>10</v>
      </c>
      <c r="K12" s="16">
        <v>13</v>
      </c>
      <c r="L12" s="16">
        <v>3</v>
      </c>
      <c r="M12" s="16" t="s">
        <v>134</v>
      </c>
      <c r="N12" s="16" t="s">
        <v>205</v>
      </c>
      <c r="O12" s="16" t="s">
        <v>316</v>
      </c>
      <c r="P12" s="16" t="s">
        <v>317</v>
      </c>
      <c r="Q12" s="16">
        <v>0</v>
      </c>
      <c r="R12" s="17" t="s">
        <v>261</v>
      </c>
      <c r="S12" s="25" t="s">
        <v>66</v>
      </c>
      <c r="T12" s="25" t="s">
        <v>66</v>
      </c>
      <c r="U12" s="16" t="b">
        <f>TRUE()</f>
        <v>1</v>
      </c>
      <c r="V12" s="16" t="s">
        <v>318</v>
      </c>
      <c r="W12" s="16">
        <v>980</v>
      </c>
      <c r="X12" s="16">
        <v>3</v>
      </c>
    </row>
    <row r="13" spans="1:24">
      <c r="A13" s="18" t="s">
        <v>319</v>
      </c>
      <c r="B13" s="18" t="s">
        <v>320</v>
      </c>
      <c r="C13" s="18" t="s">
        <v>131</v>
      </c>
      <c r="D13" s="22" t="s">
        <v>264</v>
      </c>
      <c r="E13" s="18" t="s">
        <v>265</v>
      </c>
      <c r="F13" s="18" t="s">
        <v>321</v>
      </c>
      <c r="G13" s="18" t="s">
        <v>322</v>
      </c>
      <c r="H13" s="18">
        <v>12</v>
      </c>
      <c r="I13" s="18">
        <v>60</v>
      </c>
      <c r="J13" s="18">
        <v>16</v>
      </c>
      <c r="K13" s="18">
        <v>20</v>
      </c>
      <c r="L13" s="18">
        <v>4</v>
      </c>
      <c r="M13" s="18" t="s">
        <v>134</v>
      </c>
      <c r="N13" s="18" t="s">
        <v>218</v>
      </c>
      <c r="O13" s="18" t="s">
        <v>323</v>
      </c>
      <c r="P13" s="18" t="s">
        <v>317</v>
      </c>
      <c r="Q13" s="18">
        <v>0</v>
      </c>
      <c r="R13" s="17" t="s">
        <v>261</v>
      </c>
      <c r="S13" s="26" t="s">
        <v>66</v>
      </c>
      <c r="T13" s="26" t="s">
        <v>66</v>
      </c>
      <c r="U13" s="18" t="b">
        <f>FALSE()</f>
        <v>0</v>
      </c>
      <c r="V13" s="18"/>
      <c r="W13" s="18">
        <v>820</v>
      </c>
      <c r="X13" s="18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M21"/>
  <sheetViews>
    <sheetView showGridLines="0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0" customWidth="1"/>
    <col min="2" max="2" width="30" customWidth="1"/>
    <col min="3" max="3" width="26" customWidth="1"/>
    <col min="4" max="4" width="22" customWidth="1"/>
    <col min="5" max="5" width="52" customWidth="1"/>
    <col min="6" max="6" width="14" customWidth="1"/>
    <col min="7" max="7" width="12" customWidth="1"/>
    <col min="8" max="8" width="10" customWidth="1"/>
    <col min="9" max="9" width="42" customWidth="1"/>
    <col min="10" max="11" width="14" customWidth="1"/>
    <col min="12" max="12" width="12" customWidth="1"/>
    <col min="13" max="13" width="18" customWidth="1"/>
  </cols>
  <sheetData>
    <row r="1" spans="1:13" ht="27.75" customHeight="1">
      <c r="A1" s="27" t="s">
        <v>324</v>
      </c>
      <c r="B1" s="27" t="s">
        <v>325</v>
      </c>
      <c r="C1" s="27" t="s">
        <v>39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93</v>
      </c>
      <c r="L1" s="27" t="s">
        <v>333</v>
      </c>
      <c r="M1" s="27" t="s">
        <v>334</v>
      </c>
    </row>
    <row r="2" spans="1:13" ht="31.5" customHeight="1">
      <c r="A2" s="16" t="s">
        <v>335</v>
      </c>
      <c r="B2" s="16" t="s">
        <v>336</v>
      </c>
      <c r="C2" s="16" t="s">
        <v>46</v>
      </c>
      <c r="D2" s="16" t="s">
        <v>337</v>
      </c>
      <c r="E2" s="32" t="s">
        <v>338</v>
      </c>
      <c r="F2" s="16" t="s">
        <v>339</v>
      </c>
      <c r="G2" s="16" t="s">
        <v>340</v>
      </c>
      <c r="H2" s="30" t="s">
        <v>66</v>
      </c>
      <c r="I2" s="16" t="s">
        <v>341</v>
      </c>
      <c r="J2" s="16" t="s">
        <v>342</v>
      </c>
      <c r="K2" s="16" t="s">
        <v>108</v>
      </c>
      <c r="L2" s="17" t="s">
        <v>343</v>
      </c>
      <c r="M2" s="16">
        <v>3</v>
      </c>
    </row>
    <row r="3" spans="1:13" ht="31.5" customHeight="1">
      <c r="A3" s="18" t="s">
        <v>344</v>
      </c>
      <c r="B3" s="18" t="s">
        <v>345</v>
      </c>
      <c r="C3" s="18" t="s">
        <v>46</v>
      </c>
      <c r="D3" s="18" t="s">
        <v>337</v>
      </c>
      <c r="E3" s="33" t="s">
        <v>346</v>
      </c>
      <c r="F3" s="18" t="s">
        <v>347</v>
      </c>
      <c r="G3" s="18" t="s">
        <v>348</v>
      </c>
      <c r="H3" s="31" t="s">
        <v>66</v>
      </c>
      <c r="I3" s="18" t="s">
        <v>349</v>
      </c>
      <c r="J3" s="18" t="s">
        <v>342</v>
      </c>
      <c r="K3" s="18" t="s">
        <v>108</v>
      </c>
      <c r="L3" s="17" t="s">
        <v>343</v>
      </c>
      <c r="M3" s="18">
        <v>3</v>
      </c>
    </row>
    <row r="4" spans="1:13" ht="31.5" customHeight="1">
      <c r="A4" s="16" t="s">
        <v>350</v>
      </c>
      <c r="B4" s="16" t="s">
        <v>351</v>
      </c>
      <c r="C4" s="16" t="s">
        <v>46</v>
      </c>
      <c r="D4" s="16" t="s">
        <v>337</v>
      </c>
      <c r="E4" s="32" t="s">
        <v>352</v>
      </c>
      <c r="F4" s="16" t="s">
        <v>339</v>
      </c>
      <c r="G4" s="16" t="s">
        <v>340</v>
      </c>
      <c r="H4" s="30" t="s">
        <v>66</v>
      </c>
      <c r="I4" s="16" t="s">
        <v>353</v>
      </c>
      <c r="J4" s="16" t="s">
        <v>342</v>
      </c>
      <c r="K4" s="16" t="s">
        <v>354</v>
      </c>
      <c r="L4" s="34" t="s">
        <v>355</v>
      </c>
      <c r="M4" s="16">
        <v>4</v>
      </c>
    </row>
    <row r="5" spans="1:13" ht="31.5" customHeight="1">
      <c r="A5" s="18" t="s">
        <v>356</v>
      </c>
      <c r="B5" s="18" t="s">
        <v>357</v>
      </c>
      <c r="C5" s="18" t="s">
        <v>46</v>
      </c>
      <c r="D5" s="18" t="s">
        <v>337</v>
      </c>
      <c r="E5" s="33" t="s">
        <v>358</v>
      </c>
      <c r="F5" s="18" t="s">
        <v>339</v>
      </c>
      <c r="G5" s="18" t="s">
        <v>340</v>
      </c>
      <c r="H5" s="31" t="s">
        <v>66</v>
      </c>
      <c r="I5" s="18" t="s">
        <v>359</v>
      </c>
      <c r="J5" s="18" t="s">
        <v>342</v>
      </c>
      <c r="K5" s="18" t="s">
        <v>360</v>
      </c>
      <c r="L5" s="34" t="s">
        <v>355</v>
      </c>
      <c r="M5" s="18">
        <v>2</v>
      </c>
    </row>
    <row r="6" spans="1:13" ht="31.5" customHeight="1">
      <c r="A6" s="16" t="s">
        <v>361</v>
      </c>
      <c r="B6" s="16" t="s">
        <v>362</v>
      </c>
      <c r="C6" s="16" t="s">
        <v>53</v>
      </c>
      <c r="D6" s="16" t="s">
        <v>363</v>
      </c>
      <c r="E6" s="32" t="s">
        <v>364</v>
      </c>
      <c r="F6" s="16" t="s">
        <v>347</v>
      </c>
      <c r="G6" s="16" t="s">
        <v>348</v>
      </c>
      <c r="H6" s="30" t="s">
        <v>66</v>
      </c>
      <c r="I6" s="16" t="s">
        <v>365</v>
      </c>
      <c r="J6" s="16" t="s">
        <v>366</v>
      </c>
      <c r="K6" s="16" t="s">
        <v>135</v>
      </c>
      <c r="L6" s="34" t="s">
        <v>355</v>
      </c>
      <c r="M6" s="16">
        <v>5</v>
      </c>
    </row>
    <row r="7" spans="1:13" ht="31.5" customHeight="1">
      <c r="A7" s="18" t="s">
        <v>367</v>
      </c>
      <c r="B7" s="18" t="s">
        <v>368</v>
      </c>
      <c r="C7" s="18" t="s">
        <v>53</v>
      </c>
      <c r="D7" s="18" t="s">
        <v>363</v>
      </c>
      <c r="E7" s="33" t="s">
        <v>369</v>
      </c>
      <c r="F7" s="18" t="s">
        <v>347</v>
      </c>
      <c r="G7" s="18" t="s">
        <v>348</v>
      </c>
      <c r="H7" s="31" t="s">
        <v>66</v>
      </c>
      <c r="I7" s="18" t="s">
        <v>370</v>
      </c>
      <c r="J7" s="18" t="s">
        <v>366</v>
      </c>
      <c r="K7" s="18" t="s">
        <v>109</v>
      </c>
      <c r="L7" s="17" t="s">
        <v>343</v>
      </c>
      <c r="M7" s="18">
        <v>5</v>
      </c>
    </row>
    <row r="8" spans="1:13" ht="31.5" customHeight="1">
      <c r="A8" s="16" t="s">
        <v>371</v>
      </c>
      <c r="B8" s="16" t="s">
        <v>372</v>
      </c>
      <c r="C8" s="16" t="s">
        <v>53</v>
      </c>
      <c r="D8" s="16" t="s">
        <v>373</v>
      </c>
      <c r="E8" s="32" t="s">
        <v>374</v>
      </c>
      <c r="F8" s="16" t="s">
        <v>375</v>
      </c>
      <c r="G8" s="16" t="s">
        <v>376</v>
      </c>
      <c r="H8" s="30" t="s">
        <v>66</v>
      </c>
      <c r="I8" s="16" t="s">
        <v>377</v>
      </c>
      <c r="J8" s="16" t="s">
        <v>366</v>
      </c>
      <c r="K8" s="16" t="s">
        <v>135</v>
      </c>
      <c r="L8" s="17" t="s">
        <v>343</v>
      </c>
      <c r="M8" s="16">
        <v>6</v>
      </c>
    </row>
    <row r="9" spans="1:13" ht="31.5" customHeight="1">
      <c r="A9" s="18" t="s">
        <v>378</v>
      </c>
      <c r="B9" s="18" t="s">
        <v>379</v>
      </c>
      <c r="C9" s="18" t="s">
        <v>58</v>
      </c>
      <c r="D9" s="18" t="s">
        <v>380</v>
      </c>
      <c r="E9" s="33" t="s">
        <v>381</v>
      </c>
      <c r="F9" s="18" t="s">
        <v>382</v>
      </c>
      <c r="G9" s="18" t="s">
        <v>348</v>
      </c>
      <c r="H9" s="31" t="s">
        <v>66</v>
      </c>
      <c r="I9" s="18" t="s">
        <v>383</v>
      </c>
      <c r="J9" s="18" t="s">
        <v>384</v>
      </c>
      <c r="K9" s="18" t="s">
        <v>129</v>
      </c>
      <c r="L9" s="34" t="s">
        <v>355</v>
      </c>
      <c r="M9" s="18">
        <v>3</v>
      </c>
    </row>
    <row r="10" spans="1:13" ht="31.5" customHeight="1">
      <c r="A10" s="16" t="s">
        <v>385</v>
      </c>
      <c r="B10" s="16" t="s">
        <v>386</v>
      </c>
      <c r="C10" s="16" t="s">
        <v>58</v>
      </c>
      <c r="D10" s="16" t="s">
        <v>380</v>
      </c>
      <c r="E10" s="32" t="s">
        <v>387</v>
      </c>
      <c r="F10" s="16" t="s">
        <v>388</v>
      </c>
      <c r="G10" s="16" t="s">
        <v>348</v>
      </c>
      <c r="H10" s="30" t="s">
        <v>66</v>
      </c>
      <c r="I10" s="16" t="s">
        <v>389</v>
      </c>
      <c r="J10" s="16" t="s">
        <v>384</v>
      </c>
      <c r="K10" s="16" t="s">
        <v>105</v>
      </c>
      <c r="L10" s="34" t="s">
        <v>355</v>
      </c>
      <c r="M10" s="16">
        <v>3</v>
      </c>
    </row>
    <row r="11" spans="1:13" ht="31.5" customHeight="1">
      <c r="A11" s="18" t="s">
        <v>390</v>
      </c>
      <c r="B11" s="18" t="s">
        <v>391</v>
      </c>
      <c r="C11" s="18" t="s">
        <v>58</v>
      </c>
      <c r="D11" s="18" t="s">
        <v>380</v>
      </c>
      <c r="E11" s="33" t="s">
        <v>392</v>
      </c>
      <c r="F11" s="18" t="s">
        <v>375</v>
      </c>
      <c r="G11" s="18" t="s">
        <v>376</v>
      </c>
      <c r="H11" s="31" t="s">
        <v>66</v>
      </c>
      <c r="I11" s="18" t="s">
        <v>393</v>
      </c>
      <c r="J11" s="18" t="s">
        <v>384</v>
      </c>
      <c r="K11" s="18" t="s">
        <v>109</v>
      </c>
      <c r="L11" s="17" t="s">
        <v>343</v>
      </c>
      <c r="M11" s="18">
        <v>4</v>
      </c>
    </row>
    <row r="12" spans="1:13" ht="31.5" customHeight="1">
      <c r="A12" s="16" t="s">
        <v>394</v>
      </c>
      <c r="B12" s="16" t="s">
        <v>395</v>
      </c>
      <c r="C12" s="16" t="s">
        <v>58</v>
      </c>
      <c r="D12" s="16" t="s">
        <v>380</v>
      </c>
      <c r="E12" s="32" t="s">
        <v>396</v>
      </c>
      <c r="F12" s="16" t="s">
        <v>347</v>
      </c>
      <c r="G12" s="16" t="s">
        <v>348</v>
      </c>
      <c r="H12" s="30" t="s">
        <v>66</v>
      </c>
      <c r="I12" s="16" t="s">
        <v>397</v>
      </c>
      <c r="J12" s="16" t="s">
        <v>384</v>
      </c>
      <c r="K12" s="16" t="s">
        <v>121</v>
      </c>
      <c r="L12" s="17" t="s">
        <v>343</v>
      </c>
      <c r="M12" s="16">
        <v>2</v>
      </c>
    </row>
    <row r="13" spans="1:13" ht="31.5" customHeight="1">
      <c r="A13" s="18" t="s">
        <v>398</v>
      </c>
      <c r="B13" s="18" t="s">
        <v>399</v>
      </c>
      <c r="C13" s="18" t="s">
        <v>53</v>
      </c>
      <c r="D13" s="18" t="s">
        <v>373</v>
      </c>
      <c r="E13" s="33" t="s">
        <v>400</v>
      </c>
      <c r="F13" s="18" t="s">
        <v>375</v>
      </c>
      <c r="G13" s="18" t="s">
        <v>376</v>
      </c>
      <c r="H13" s="31" t="s">
        <v>66</v>
      </c>
      <c r="I13" s="18" t="s">
        <v>401</v>
      </c>
      <c r="J13" s="18" t="s">
        <v>366</v>
      </c>
      <c r="K13" s="18" t="s">
        <v>125</v>
      </c>
      <c r="L13" s="19" t="s">
        <v>402</v>
      </c>
      <c r="M13" s="18">
        <v>3</v>
      </c>
    </row>
    <row r="14" spans="1:13" ht="31.5" customHeight="1">
      <c r="A14" s="16" t="s">
        <v>403</v>
      </c>
      <c r="B14" s="16" t="s">
        <v>404</v>
      </c>
      <c r="C14" s="16" t="s">
        <v>53</v>
      </c>
      <c r="D14" s="16" t="s">
        <v>373</v>
      </c>
      <c r="E14" s="32" t="s">
        <v>405</v>
      </c>
      <c r="F14" s="16" t="s">
        <v>375</v>
      </c>
      <c r="G14" s="16" t="s">
        <v>376</v>
      </c>
      <c r="H14" s="30" t="s">
        <v>66</v>
      </c>
      <c r="I14" s="16" t="s">
        <v>406</v>
      </c>
      <c r="J14" s="16" t="s">
        <v>366</v>
      </c>
      <c r="K14" s="16" t="s">
        <v>129</v>
      </c>
      <c r="L14" s="19" t="s">
        <v>402</v>
      </c>
      <c r="M14" s="16">
        <v>2</v>
      </c>
    </row>
    <row r="15" spans="1:13" ht="31.5" customHeight="1">
      <c r="A15" s="18" t="s">
        <v>407</v>
      </c>
      <c r="B15" s="18" t="s">
        <v>408</v>
      </c>
      <c r="C15" s="18" t="s">
        <v>46</v>
      </c>
      <c r="D15" s="18" t="s">
        <v>337</v>
      </c>
      <c r="E15" s="33" t="s">
        <v>409</v>
      </c>
      <c r="F15" s="18" t="s">
        <v>375</v>
      </c>
      <c r="G15" s="18" t="s">
        <v>376</v>
      </c>
      <c r="H15" s="35" t="s">
        <v>51</v>
      </c>
      <c r="I15" s="18" t="s">
        <v>410</v>
      </c>
      <c r="J15" s="18" t="s">
        <v>342</v>
      </c>
      <c r="K15" s="18" t="s">
        <v>411</v>
      </c>
      <c r="L15" s="19" t="s">
        <v>402</v>
      </c>
      <c r="M15" s="18">
        <v>1</v>
      </c>
    </row>
    <row r="16" spans="1:13" ht="31.5" customHeight="1">
      <c r="A16" s="16" t="s">
        <v>412</v>
      </c>
      <c r="B16" s="16" t="s">
        <v>413</v>
      </c>
      <c r="C16" s="16" t="s">
        <v>62</v>
      </c>
      <c r="D16" s="16" t="s">
        <v>414</v>
      </c>
      <c r="E16" s="32" t="s">
        <v>415</v>
      </c>
      <c r="F16" s="16" t="s">
        <v>416</v>
      </c>
      <c r="G16" s="16" t="s">
        <v>348</v>
      </c>
      <c r="H16" s="30" t="s">
        <v>66</v>
      </c>
      <c r="I16" s="16" t="s">
        <v>417</v>
      </c>
      <c r="J16" s="16" t="s">
        <v>418</v>
      </c>
      <c r="K16" s="16" t="s">
        <v>140</v>
      </c>
      <c r="L16" s="17" t="s">
        <v>343</v>
      </c>
      <c r="M16" s="16">
        <v>2</v>
      </c>
    </row>
    <row r="17" spans="1:13" ht="31.5" customHeight="1">
      <c r="A17" s="18" t="s">
        <v>419</v>
      </c>
      <c r="B17" s="18" t="s">
        <v>420</v>
      </c>
      <c r="C17" s="18" t="s">
        <v>46</v>
      </c>
      <c r="D17" s="18" t="s">
        <v>337</v>
      </c>
      <c r="E17" s="33" t="s">
        <v>421</v>
      </c>
      <c r="F17" s="18" t="s">
        <v>339</v>
      </c>
      <c r="G17" s="18" t="s">
        <v>340</v>
      </c>
      <c r="H17" s="31" t="s">
        <v>66</v>
      </c>
      <c r="I17" s="18" t="s">
        <v>422</v>
      </c>
      <c r="J17" s="18" t="s">
        <v>342</v>
      </c>
      <c r="K17" s="18" t="s">
        <v>117</v>
      </c>
      <c r="L17" s="17" t="s">
        <v>343</v>
      </c>
      <c r="M17" s="18">
        <v>3</v>
      </c>
    </row>
    <row r="18" spans="1:13" ht="31.5" customHeight="1">
      <c r="A18" s="16" t="s">
        <v>423</v>
      </c>
      <c r="B18" s="16" t="s">
        <v>424</v>
      </c>
      <c r="C18" s="16" t="s">
        <v>53</v>
      </c>
      <c r="D18" s="16" t="s">
        <v>363</v>
      </c>
      <c r="E18" s="32" t="s">
        <v>425</v>
      </c>
      <c r="F18" s="16" t="s">
        <v>347</v>
      </c>
      <c r="G18" s="16" t="s">
        <v>348</v>
      </c>
      <c r="H18" s="30" t="s">
        <v>66</v>
      </c>
      <c r="I18" s="16" t="s">
        <v>426</v>
      </c>
      <c r="J18" s="16" t="s">
        <v>366</v>
      </c>
      <c r="K18" s="16" t="s">
        <v>192</v>
      </c>
      <c r="L18" s="17" t="s">
        <v>343</v>
      </c>
      <c r="M18" s="16">
        <v>4</v>
      </c>
    </row>
    <row r="19" spans="1:13" ht="31.5" customHeight="1">
      <c r="A19" s="18" t="s">
        <v>427</v>
      </c>
      <c r="B19" s="18" t="s">
        <v>428</v>
      </c>
      <c r="C19" s="18" t="s">
        <v>53</v>
      </c>
      <c r="D19" s="18" t="s">
        <v>363</v>
      </c>
      <c r="E19" s="33" t="s">
        <v>429</v>
      </c>
      <c r="F19" s="18" t="s">
        <v>347</v>
      </c>
      <c r="G19" s="18" t="s">
        <v>348</v>
      </c>
      <c r="H19" s="31" t="s">
        <v>66</v>
      </c>
      <c r="I19" s="18" t="s">
        <v>430</v>
      </c>
      <c r="J19" s="18" t="s">
        <v>366</v>
      </c>
      <c r="K19" s="18" t="s">
        <v>129</v>
      </c>
      <c r="L19" s="17" t="s">
        <v>343</v>
      </c>
      <c r="M19" s="18">
        <v>4</v>
      </c>
    </row>
    <row r="20" spans="1:13" ht="31.5" customHeight="1">
      <c r="A20" s="16" t="s">
        <v>431</v>
      </c>
      <c r="B20" s="16" t="s">
        <v>432</v>
      </c>
      <c r="C20" s="16" t="s">
        <v>232</v>
      </c>
      <c r="D20" s="16" t="s">
        <v>433</v>
      </c>
      <c r="E20" s="32" t="s">
        <v>434</v>
      </c>
      <c r="F20" s="16" t="s">
        <v>382</v>
      </c>
      <c r="G20" s="16" t="s">
        <v>348</v>
      </c>
      <c r="H20" s="30" t="s">
        <v>66</v>
      </c>
      <c r="I20" s="16" t="s">
        <v>435</v>
      </c>
      <c r="J20" s="16" t="s">
        <v>436</v>
      </c>
      <c r="K20" s="16" t="s">
        <v>135</v>
      </c>
      <c r="L20" s="34" t="s">
        <v>355</v>
      </c>
      <c r="M20" s="16">
        <v>1</v>
      </c>
    </row>
    <row r="21" spans="1:13" ht="31.5" customHeight="1">
      <c r="A21" s="18" t="s">
        <v>437</v>
      </c>
      <c r="B21" s="18" t="s">
        <v>438</v>
      </c>
      <c r="C21" s="18" t="s">
        <v>67</v>
      </c>
      <c r="D21" s="18" t="s">
        <v>439</v>
      </c>
      <c r="E21" s="33" t="s">
        <v>440</v>
      </c>
      <c r="F21" s="18" t="s">
        <v>375</v>
      </c>
      <c r="G21" s="18" t="s">
        <v>376</v>
      </c>
      <c r="H21" s="31" t="s">
        <v>66</v>
      </c>
      <c r="I21" s="18" t="s">
        <v>441</v>
      </c>
      <c r="J21" s="18" t="s">
        <v>442</v>
      </c>
      <c r="K21" s="18" t="s">
        <v>443</v>
      </c>
      <c r="L21" s="17" t="s">
        <v>343</v>
      </c>
      <c r="M21" s="18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C2626"/>
  </sheetPr>
  <dimension ref="A1:O21"/>
  <sheetViews>
    <sheetView showGridLines="0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0" customWidth="1"/>
    <col min="2" max="2" width="24" customWidth="1"/>
    <col min="3" max="3" width="40" customWidth="1"/>
    <col min="4" max="4" width="12" customWidth="1"/>
    <col min="5" max="5" width="32" customWidth="1"/>
    <col min="6" max="6" width="16" customWidth="1"/>
    <col min="7" max="7" width="10" customWidth="1"/>
    <col min="8" max="10" width="18" customWidth="1"/>
    <col min="11" max="11" width="14" customWidth="1"/>
    <col min="12" max="12" width="18" customWidth="1"/>
    <col min="13" max="13" width="12" customWidth="1"/>
    <col min="14" max="15" width="16" customWidth="1"/>
  </cols>
  <sheetData>
    <row r="1" spans="1:15" ht="27.75" customHeight="1">
      <c r="A1" s="27" t="s">
        <v>444</v>
      </c>
      <c r="B1" s="27" t="s">
        <v>445</v>
      </c>
      <c r="C1" s="27" t="s">
        <v>446</v>
      </c>
      <c r="D1" s="27" t="s">
        <v>447</v>
      </c>
      <c r="E1" s="27" t="s">
        <v>16</v>
      </c>
      <c r="F1" s="27" t="s">
        <v>448</v>
      </c>
      <c r="G1" s="27" t="s">
        <v>449</v>
      </c>
      <c r="H1" s="27" t="s">
        <v>450</v>
      </c>
      <c r="I1" s="27" t="s">
        <v>451</v>
      </c>
      <c r="J1" s="27" t="s">
        <v>452</v>
      </c>
      <c r="K1" s="27" t="s">
        <v>453</v>
      </c>
      <c r="L1" s="27" t="s">
        <v>454</v>
      </c>
      <c r="M1" s="27" t="s">
        <v>455</v>
      </c>
      <c r="N1" s="27" t="s">
        <v>456</v>
      </c>
      <c r="O1" s="27" t="s">
        <v>457</v>
      </c>
    </row>
    <row r="2" spans="1:15">
      <c r="A2" s="16" t="s">
        <v>458</v>
      </c>
      <c r="B2" s="16" t="s">
        <v>459</v>
      </c>
      <c r="C2" s="16" t="s">
        <v>170</v>
      </c>
      <c r="D2" s="16" t="s">
        <v>460</v>
      </c>
      <c r="E2" s="16" t="s">
        <v>23</v>
      </c>
      <c r="F2" s="29" t="s">
        <v>460</v>
      </c>
      <c r="G2" s="28" t="s">
        <v>461</v>
      </c>
      <c r="H2" s="25" t="s">
        <v>66</v>
      </c>
      <c r="I2" s="16" t="s">
        <v>462</v>
      </c>
      <c r="J2" s="16">
        <v>12</v>
      </c>
      <c r="K2" s="16">
        <v>4</v>
      </c>
      <c r="L2" s="16">
        <v>3</v>
      </c>
      <c r="M2" s="30" t="s">
        <v>51</v>
      </c>
      <c r="N2" s="16" t="s">
        <v>342</v>
      </c>
      <c r="O2" s="16" t="s">
        <v>463</v>
      </c>
    </row>
    <row r="3" spans="1:15">
      <c r="A3" s="18" t="s">
        <v>464</v>
      </c>
      <c r="B3" s="18" t="s">
        <v>465</v>
      </c>
      <c r="C3" s="18" t="s">
        <v>111</v>
      </c>
      <c r="D3" s="18" t="s">
        <v>460</v>
      </c>
      <c r="E3" s="18" t="s">
        <v>26</v>
      </c>
      <c r="F3" s="29" t="s">
        <v>460</v>
      </c>
      <c r="G3" s="36" t="s">
        <v>466</v>
      </c>
      <c r="H3" s="26" t="s">
        <v>66</v>
      </c>
      <c r="I3" s="18" t="s">
        <v>467</v>
      </c>
      <c r="J3" s="18">
        <v>18</v>
      </c>
      <c r="K3" s="18">
        <v>5</v>
      </c>
      <c r="L3" s="18">
        <v>6</v>
      </c>
      <c r="M3" s="31" t="s">
        <v>51</v>
      </c>
      <c r="N3" s="18" t="s">
        <v>468</v>
      </c>
      <c r="O3" s="18" t="s">
        <v>463</v>
      </c>
    </row>
    <row r="4" spans="1:15">
      <c r="A4" s="16" t="s">
        <v>469</v>
      </c>
      <c r="B4" s="16" t="s">
        <v>470</v>
      </c>
      <c r="C4" s="16" t="s">
        <v>115</v>
      </c>
      <c r="D4" s="16" t="s">
        <v>460</v>
      </c>
      <c r="E4" s="16" t="s">
        <v>27</v>
      </c>
      <c r="F4" s="29" t="s">
        <v>460</v>
      </c>
      <c r="G4" s="28" t="s">
        <v>461</v>
      </c>
      <c r="H4" s="25" t="s">
        <v>66</v>
      </c>
      <c r="I4" s="16" t="s">
        <v>471</v>
      </c>
      <c r="J4" s="16">
        <v>9</v>
      </c>
      <c r="K4" s="16">
        <v>3</v>
      </c>
      <c r="L4" s="16">
        <v>2</v>
      </c>
      <c r="M4" s="30" t="s">
        <v>51</v>
      </c>
      <c r="N4" s="16" t="s">
        <v>384</v>
      </c>
      <c r="O4" s="16" t="s">
        <v>463</v>
      </c>
    </row>
    <row r="5" spans="1:15">
      <c r="A5" s="18" t="s">
        <v>472</v>
      </c>
      <c r="B5" s="18" t="s">
        <v>473</v>
      </c>
      <c r="C5" s="18" t="s">
        <v>119</v>
      </c>
      <c r="D5" s="18" t="s">
        <v>460</v>
      </c>
      <c r="E5" s="18" t="s">
        <v>30</v>
      </c>
      <c r="F5" s="29" t="s">
        <v>460</v>
      </c>
      <c r="G5" s="36" t="s">
        <v>466</v>
      </c>
      <c r="H5" s="26" t="s">
        <v>66</v>
      </c>
      <c r="I5" s="18" t="s">
        <v>474</v>
      </c>
      <c r="J5" s="18">
        <v>6</v>
      </c>
      <c r="K5" s="18">
        <v>4</v>
      </c>
      <c r="L5" s="18">
        <v>1</v>
      </c>
      <c r="M5" s="31" t="s">
        <v>51</v>
      </c>
      <c r="N5" s="18" t="s">
        <v>418</v>
      </c>
      <c r="O5" s="18" t="s">
        <v>475</v>
      </c>
    </row>
    <row r="6" spans="1:15">
      <c r="A6" s="16" t="s">
        <v>476</v>
      </c>
      <c r="B6" s="16" t="s">
        <v>477</v>
      </c>
      <c r="C6" s="16" t="s">
        <v>123</v>
      </c>
      <c r="D6" s="16" t="s">
        <v>460</v>
      </c>
      <c r="E6" s="16" t="s">
        <v>28</v>
      </c>
      <c r="F6" s="29" t="s">
        <v>460</v>
      </c>
      <c r="G6" s="28" t="s">
        <v>461</v>
      </c>
      <c r="H6" s="25" t="s">
        <v>66</v>
      </c>
      <c r="I6" s="16" t="s">
        <v>478</v>
      </c>
      <c r="J6" s="16">
        <v>14</v>
      </c>
      <c r="K6" s="16">
        <v>3</v>
      </c>
      <c r="L6" s="16">
        <v>4</v>
      </c>
      <c r="M6" s="30" t="s">
        <v>51</v>
      </c>
      <c r="N6" s="16" t="s">
        <v>342</v>
      </c>
      <c r="O6" s="16" t="s">
        <v>475</v>
      </c>
    </row>
    <row r="7" spans="1:15">
      <c r="A7" s="18" t="s">
        <v>479</v>
      </c>
      <c r="B7" s="18" t="s">
        <v>480</v>
      </c>
      <c r="C7" s="18" t="s">
        <v>127</v>
      </c>
      <c r="D7" s="18" t="s">
        <v>460</v>
      </c>
      <c r="E7" s="18" t="s">
        <v>29</v>
      </c>
      <c r="F7" s="29" t="s">
        <v>460</v>
      </c>
      <c r="G7" s="36" t="s">
        <v>466</v>
      </c>
      <c r="H7" s="26" t="s">
        <v>66</v>
      </c>
      <c r="I7" s="18" t="s">
        <v>481</v>
      </c>
      <c r="J7" s="18">
        <v>5</v>
      </c>
      <c r="K7" s="18">
        <v>1</v>
      </c>
      <c r="L7" s="18">
        <v>2</v>
      </c>
      <c r="M7" s="31" t="s">
        <v>51</v>
      </c>
      <c r="N7" s="18" t="s">
        <v>482</v>
      </c>
      <c r="O7" s="18" t="s">
        <v>475</v>
      </c>
    </row>
    <row r="8" spans="1:15">
      <c r="A8" s="16" t="s">
        <v>483</v>
      </c>
      <c r="B8" s="16" t="s">
        <v>144</v>
      </c>
      <c r="C8" s="16" t="s">
        <v>144</v>
      </c>
      <c r="D8" s="16" t="s">
        <v>484</v>
      </c>
      <c r="E8" s="16" t="s">
        <v>31</v>
      </c>
      <c r="F8" s="22" t="s">
        <v>485</v>
      </c>
      <c r="G8" s="28" t="s">
        <v>461</v>
      </c>
      <c r="H8" s="25" t="s">
        <v>66</v>
      </c>
      <c r="I8" s="16" t="s">
        <v>486</v>
      </c>
      <c r="J8" s="16">
        <v>8</v>
      </c>
      <c r="K8" s="16">
        <v>3</v>
      </c>
      <c r="L8" s="16">
        <v>1</v>
      </c>
      <c r="M8" s="30" t="s">
        <v>51</v>
      </c>
      <c r="N8" s="16" t="s">
        <v>468</v>
      </c>
      <c r="O8" s="16" t="s">
        <v>487</v>
      </c>
    </row>
    <row r="9" spans="1:15">
      <c r="A9" s="18" t="s">
        <v>488</v>
      </c>
      <c r="B9" s="18" t="s">
        <v>147</v>
      </c>
      <c r="C9" s="18" t="s">
        <v>147</v>
      </c>
      <c r="D9" s="18" t="s">
        <v>484</v>
      </c>
      <c r="E9" s="18" t="s">
        <v>31</v>
      </c>
      <c r="F9" s="22" t="s">
        <v>485</v>
      </c>
      <c r="G9" s="28" t="s">
        <v>461</v>
      </c>
      <c r="H9" s="26" t="s">
        <v>66</v>
      </c>
      <c r="I9" s="18" t="s">
        <v>489</v>
      </c>
      <c r="J9" s="18">
        <v>5</v>
      </c>
      <c r="K9" s="18">
        <v>2</v>
      </c>
      <c r="L9" s="18">
        <v>1</v>
      </c>
      <c r="M9" s="31" t="s">
        <v>51</v>
      </c>
      <c r="N9" s="18" t="s">
        <v>490</v>
      </c>
      <c r="O9" s="18" t="s">
        <v>487</v>
      </c>
    </row>
    <row r="10" spans="1:15">
      <c r="A10" s="16" t="s">
        <v>491</v>
      </c>
      <c r="B10" s="16" t="s">
        <v>233</v>
      </c>
      <c r="C10" s="16" t="s">
        <v>233</v>
      </c>
      <c r="D10" s="16" t="s">
        <v>484</v>
      </c>
      <c r="E10" s="16" t="s">
        <v>31</v>
      </c>
      <c r="F10" s="22" t="s">
        <v>485</v>
      </c>
      <c r="G10" s="28" t="s">
        <v>461</v>
      </c>
      <c r="H10" s="25" t="s">
        <v>66</v>
      </c>
      <c r="I10" s="16" t="s">
        <v>492</v>
      </c>
      <c r="J10" s="16">
        <v>3</v>
      </c>
      <c r="K10" s="16">
        <v>1</v>
      </c>
      <c r="L10" s="16">
        <v>0</v>
      </c>
      <c r="M10" s="30" t="s">
        <v>51</v>
      </c>
      <c r="N10" s="16" t="s">
        <v>493</v>
      </c>
      <c r="O10" s="16" t="s">
        <v>463</v>
      </c>
    </row>
    <row r="11" spans="1:15">
      <c r="A11" s="18" t="s">
        <v>494</v>
      </c>
      <c r="B11" s="18" t="s">
        <v>495</v>
      </c>
      <c r="C11" s="18" t="s">
        <v>495</v>
      </c>
      <c r="D11" s="18" t="s">
        <v>496</v>
      </c>
      <c r="E11" s="18" t="s">
        <v>23</v>
      </c>
      <c r="F11" s="24" t="s">
        <v>496</v>
      </c>
      <c r="G11" s="28" t="s">
        <v>461</v>
      </c>
      <c r="H11" s="26" t="s">
        <v>66</v>
      </c>
      <c r="I11" s="18" t="s">
        <v>497</v>
      </c>
      <c r="J11" s="18">
        <v>6</v>
      </c>
      <c r="K11" s="18">
        <v>0</v>
      </c>
      <c r="L11" s="18">
        <v>2</v>
      </c>
      <c r="M11" s="31" t="s">
        <v>51</v>
      </c>
      <c r="N11" s="18" t="s">
        <v>342</v>
      </c>
      <c r="O11" s="18" t="s">
        <v>463</v>
      </c>
    </row>
    <row r="12" spans="1:15">
      <c r="A12" s="16" t="s">
        <v>498</v>
      </c>
      <c r="B12" s="16" t="s">
        <v>499</v>
      </c>
      <c r="C12" s="16" t="s">
        <v>499</v>
      </c>
      <c r="D12" s="16" t="s">
        <v>496</v>
      </c>
      <c r="E12" s="16" t="s">
        <v>26</v>
      </c>
      <c r="F12" s="24" t="s">
        <v>496</v>
      </c>
      <c r="G12" s="37" t="s">
        <v>500</v>
      </c>
      <c r="H12" s="25" t="s">
        <v>66</v>
      </c>
      <c r="I12" s="16" t="s">
        <v>474</v>
      </c>
      <c r="J12" s="16">
        <v>9</v>
      </c>
      <c r="K12" s="16">
        <v>0</v>
      </c>
      <c r="L12" s="16">
        <v>3</v>
      </c>
      <c r="M12" s="38" t="s">
        <v>66</v>
      </c>
      <c r="N12" s="16" t="s">
        <v>468</v>
      </c>
      <c r="O12" s="16" t="s">
        <v>487</v>
      </c>
    </row>
    <row r="13" spans="1:15">
      <c r="A13" s="18" t="s">
        <v>501</v>
      </c>
      <c r="B13" s="18" t="s">
        <v>502</v>
      </c>
      <c r="C13" s="18" t="s">
        <v>502</v>
      </c>
      <c r="D13" s="18" t="s">
        <v>496</v>
      </c>
      <c r="E13" s="18" t="s">
        <v>29</v>
      </c>
      <c r="F13" s="24" t="s">
        <v>496</v>
      </c>
      <c r="G13" s="28" t="s">
        <v>461</v>
      </c>
      <c r="H13" s="26" t="s">
        <v>66</v>
      </c>
      <c r="I13" s="18" t="s">
        <v>503</v>
      </c>
      <c r="J13" s="18">
        <v>3</v>
      </c>
      <c r="K13" s="18">
        <v>0</v>
      </c>
      <c r="L13" s="18">
        <v>1</v>
      </c>
      <c r="M13" s="31" t="s">
        <v>51</v>
      </c>
      <c r="N13" s="18" t="s">
        <v>482</v>
      </c>
      <c r="O13" s="18" t="s">
        <v>475</v>
      </c>
    </row>
    <row r="14" spans="1:15">
      <c r="A14" s="16" t="s">
        <v>504</v>
      </c>
      <c r="B14" s="16" t="s">
        <v>134</v>
      </c>
      <c r="C14" s="16" t="s">
        <v>134</v>
      </c>
      <c r="D14" s="16" t="s">
        <v>460</v>
      </c>
      <c r="E14" s="16" t="s">
        <v>131</v>
      </c>
      <c r="F14" s="29" t="s">
        <v>460</v>
      </c>
      <c r="G14" s="36" t="s">
        <v>466</v>
      </c>
      <c r="H14" s="25" t="s">
        <v>66</v>
      </c>
      <c r="I14" s="16" t="s">
        <v>505</v>
      </c>
      <c r="J14" s="16">
        <v>22</v>
      </c>
      <c r="K14" s="16">
        <v>12</v>
      </c>
      <c r="L14" s="16">
        <v>4</v>
      </c>
      <c r="M14" s="30" t="s">
        <v>51</v>
      </c>
      <c r="N14" s="16" t="s">
        <v>506</v>
      </c>
      <c r="O14" s="16" t="s">
        <v>475</v>
      </c>
    </row>
    <row r="15" spans="1:15">
      <c r="A15" s="18" t="s">
        <v>507</v>
      </c>
      <c r="B15" s="18" t="s">
        <v>508</v>
      </c>
      <c r="C15" s="18" t="s">
        <v>508</v>
      </c>
      <c r="D15" s="18" t="s">
        <v>509</v>
      </c>
      <c r="E15" s="18" t="s">
        <v>31</v>
      </c>
      <c r="F15" s="28" t="s">
        <v>484</v>
      </c>
      <c r="G15" s="36" t="s">
        <v>466</v>
      </c>
      <c r="H15" s="39" t="s">
        <v>51</v>
      </c>
      <c r="I15" s="18" t="s">
        <v>510</v>
      </c>
      <c r="J15" s="18">
        <v>0</v>
      </c>
      <c r="K15" s="18">
        <v>0</v>
      </c>
      <c r="L15" s="18">
        <v>0</v>
      </c>
      <c r="M15" s="31" t="s">
        <v>51</v>
      </c>
      <c r="N15" s="18" t="s">
        <v>506</v>
      </c>
      <c r="O15" s="18" t="s">
        <v>475</v>
      </c>
    </row>
    <row r="16" spans="1:15">
      <c r="A16" s="16" t="s">
        <v>511</v>
      </c>
      <c r="B16" s="16" t="s">
        <v>512</v>
      </c>
      <c r="C16" s="16" t="s">
        <v>512</v>
      </c>
      <c r="D16" s="16" t="s">
        <v>509</v>
      </c>
      <c r="E16" s="16" t="s">
        <v>31</v>
      </c>
      <c r="F16" s="28" t="s">
        <v>484</v>
      </c>
      <c r="G16" s="36" t="s">
        <v>466</v>
      </c>
      <c r="H16" s="40" t="s">
        <v>51</v>
      </c>
      <c r="I16" s="16" t="s">
        <v>513</v>
      </c>
      <c r="J16" s="16">
        <v>0</v>
      </c>
      <c r="K16" s="16">
        <v>0</v>
      </c>
      <c r="L16" s="16">
        <v>0</v>
      </c>
      <c r="M16" s="30" t="s">
        <v>51</v>
      </c>
      <c r="N16" s="16" t="s">
        <v>506</v>
      </c>
      <c r="O16" s="16" t="s">
        <v>475</v>
      </c>
    </row>
    <row r="17" spans="1:15">
      <c r="A17" s="18" t="s">
        <v>514</v>
      </c>
      <c r="B17" s="18" t="s">
        <v>515</v>
      </c>
      <c r="C17" s="18" t="s">
        <v>515</v>
      </c>
      <c r="D17" s="18" t="s">
        <v>496</v>
      </c>
      <c r="E17" s="18" t="s">
        <v>31</v>
      </c>
      <c r="F17" s="24" t="s">
        <v>496</v>
      </c>
      <c r="G17" s="28" t="s">
        <v>461</v>
      </c>
      <c r="H17" s="26" t="s">
        <v>66</v>
      </c>
      <c r="I17" s="18" t="s">
        <v>516</v>
      </c>
      <c r="J17" s="18">
        <v>11</v>
      </c>
      <c r="K17" s="18">
        <v>0</v>
      </c>
      <c r="L17" s="18">
        <v>4</v>
      </c>
      <c r="M17" s="31" t="s">
        <v>51</v>
      </c>
      <c r="N17" s="18" t="s">
        <v>468</v>
      </c>
      <c r="O17" s="18" t="s">
        <v>463</v>
      </c>
    </row>
    <row r="18" spans="1:15">
      <c r="A18" s="16" t="s">
        <v>517</v>
      </c>
      <c r="B18" s="16" t="s">
        <v>518</v>
      </c>
      <c r="C18" s="16" t="s">
        <v>518</v>
      </c>
      <c r="D18" s="16" t="s">
        <v>496</v>
      </c>
      <c r="E18" s="16" t="s">
        <v>31</v>
      </c>
      <c r="F18" s="24" t="s">
        <v>496</v>
      </c>
      <c r="G18" s="28" t="s">
        <v>461</v>
      </c>
      <c r="H18" s="25" t="s">
        <v>66</v>
      </c>
      <c r="I18" s="16" t="s">
        <v>519</v>
      </c>
      <c r="J18" s="16">
        <v>8</v>
      </c>
      <c r="K18" s="16">
        <v>0</v>
      </c>
      <c r="L18" s="16">
        <v>3</v>
      </c>
      <c r="M18" s="30" t="s">
        <v>51</v>
      </c>
      <c r="N18" s="16" t="s">
        <v>468</v>
      </c>
      <c r="O18" s="16" t="s">
        <v>487</v>
      </c>
    </row>
    <row r="19" spans="1:15">
      <c r="A19" s="18" t="s">
        <v>520</v>
      </c>
      <c r="B19" s="18" t="s">
        <v>521</v>
      </c>
      <c r="C19" s="18" t="s">
        <v>521</v>
      </c>
      <c r="D19" s="18" t="s">
        <v>496</v>
      </c>
      <c r="E19" s="18" t="s">
        <v>28</v>
      </c>
      <c r="F19" s="24" t="s">
        <v>496</v>
      </c>
      <c r="G19" s="36" t="s">
        <v>466</v>
      </c>
      <c r="H19" s="26" t="s">
        <v>66</v>
      </c>
      <c r="I19" s="18" t="s">
        <v>522</v>
      </c>
      <c r="J19" s="18">
        <v>7</v>
      </c>
      <c r="K19" s="18">
        <v>0</v>
      </c>
      <c r="L19" s="18">
        <v>2</v>
      </c>
      <c r="M19" s="31" t="s">
        <v>51</v>
      </c>
      <c r="N19" s="18" t="s">
        <v>342</v>
      </c>
      <c r="O19" s="18" t="s">
        <v>475</v>
      </c>
    </row>
    <row r="20" spans="1:15">
      <c r="A20" s="16" t="s">
        <v>523</v>
      </c>
      <c r="B20" s="16" t="s">
        <v>524</v>
      </c>
      <c r="C20" s="16" t="s">
        <v>524</v>
      </c>
      <c r="D20" s="16" t="s">
        <v>496</v>
      </c>
      <c r="E20" s="16" t="s">
        <v>29</v>
      </c>
      <c r="F20" s="24" t="s">
        <v>496</v>
      </c>
      <c r="G20" s="36" t="s">
        <v>466</v>
      </c>
      <c r="H20" s="25" t="s">
        <v>66</v>
      </c>
      <c r="I20" s="16" t="s">
        <v>525</v>
      </c>
      <c r="J20" s="16">
        <v>4</v>
      </c>
      <c r="K20" s="16">
        <v>0</v>
      </c>
      <c r="L20" s="16">
        <v>2</v>
      </c>
      <c r="M20" s="30" t="s">
        <v>51</v>
      </c>
      <c r="N20" s="16" t="s">
        <v>482</v>
      </c>
      <c r="O20" s="16" t="s">
        <v>475</v>
      </c>
    </row>
    <row r="21" spans="1:15">
      <c r="A21" s="18" t="s">
        <v>526</v>
      </c>
      <c r="B21" s="18" t="s">
        <v>527</v>
      </c>
      <c r="C21" s="18" t="s">
        <v>527</v>
      </c>
      <c r="D21" s="18" t="s">
        <v>460</v>
      </c>
      <c r="E21" s="18" t="s">
        <v>31</v>
      </c>
      <c r="F21" s="29" t="s">
        <v>460</v>
      </c>
      <c r="G21" s="36" t="s">
        <v>466</v>
      </c>
      <c r="H21" s="26" t="s">
        <v>66</v>
      </c>
      <c r="I21" s="18" t="s">
        <v>528</v>
      </c>
      <c r="J21" s="18">
        <v>2</v>
      </c>
      <c r="K21" s="18">
        <v>0</v>
      </c>
      <c r="L21" s="18">
        <v>0</v>
      </c>
      <c r="M21" s="31" t="s">
        <v>51</v>
      </c>
      <c r="N21" s="18" t="s">
        <v>506</v>
      </c>
      <c r="O21" s="18" t="s">
        <v>475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91B2"/>
  </sheetPr>
  <dimension ref="A1:L36"/>
  <sheetViews>
    <sheetView showGridLines="0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2" customWidth="1"/>
    <col min="2" max="2" width="28" customWidth="1"/>
    <col min="3" max="3" width="30" customWidth="1"/>
    <col min="4" max="4" width="14" customWidth="1"/>
    <col min="5" max="6" width="20" customWidth="1"/>
    <col min="7" max="7" width="14" customWidth="1"/>
    <col min="8" max="8" width="12" customWidth="1"/>
    <col min="9" max="9" width="16" customWidth="1"/>
    <col min="10" max="10" width="40" customWidth="1"/>
    <col min="11" max="12" width="14" customWidth="1"/>
  </cols>
  <sheetData>
    <row r="1" spans="1:12" ht="27.75" customHeight="1">
      <c r="A1" s="27" t="s">
        <v>529</v>
      </c>
      <c r="B1" s="27" t="s">
        <v>155</v>
      </c>
      <c r="C1" s="27" t="s">
        <v>16</v>
      </c>
      <c r="D1" s="27" t="s">
        <v>530</v>
      </c>
      <c r="E1" s="27" t="s">
        <v>531</v>
      </c>
      <c r="F1" s="27" t="s">
        <v>532</v>
      </c>
      <c r="G1" s="27" t="s">
        <v>533</v>
      </c>
      <c r="H1" s="27" t="s">
        <v>22</v>
      </c>
      <c r="I1" s="27" t="s">
        <v>534</v>
      </c>
      <c r="J1" s="27" t="s">
        <v>535</v>
      </c>
      <c r="K1" s="27" t="s">
        <v>536</v>
      </c>
      <c r="L1" s="27" t="s">
        <v>537</v>
      </c>
    </row>
    <row r="2" spans="1:12">
      <c r="A2" s="16" t="s">
        <v>538</v>
      </c>
      <c r="B2" s="16" t="s">
        <v>46</v>
      </c>
      <c r="C2" s="16" t="s">
        <v>23</v>
      </c>
      <c r="D2" s="16" t="s">
        <v>539</v>
      </c>
      <c r="E2" s="16" t="s">
        <v>540</v>
      </c>
      <c r="F2" s="16" t="s">
        <v>540</v>
      </c>
      <c r="G2" s="16">
        <v>22</v>
      </c>
      <c r="H2" s="17" t="s">
        <v>261</v>
      </c>
      <c r="I2" s="16">
        <v>65080</v>
      </c>
      <c r="J2" s="16"/>
      <c r="K2" s="16" t="s">
        <v>541</v>
      </c>
      <c r="L2" s="16" t="s">
        <v>542</v>
      </c>
    </row>
    <row r="3" spans="1:12">
      <c r="A3" s="18" t="s">
        <v>543</v>
      </c>
      <c r="B3" s="18" t="s">
        <v>46</v>
      </c>
      <c r="C3" s="18" t="s">
        <v>23</v>
      </c>
      <c r="D3" s="18" t="s">
        <v>539</v>
      </c>
      <c r="E3" s="18" t="s">
        <v>544</v>
      </c>
      <c r="F3" s="18" t="s">
        <v>544</v>
      </c>
      <c r="G3" s="18">
        <v>12</v>
      </c>
      <c r="H3" s="17" t="s">
        <v>261</v>
      </c>
      <c r="I3" s="18">
        <v>1948803</v>
      </c>
      <c r="J3" s="18"/>
      <c r="K3" s="18" t="s">
        <v>541</v>
      </c>
      <c r="L3" s="18" t="s">
        <v>542</v>
      </c>
    </row>
    <row r="4" spans="1:12">
      <c r="A4" s="16" t="s">
        <v>545</v>
      </c>
      <c r="B4" s="16" t="s">
        <v>46</v>
      </c>
      <c r="C4" s="16" t="s">
        <v>23</v>
      </c>
      <c r="D4" s="16" t="s">
        <v>539</v>
      </c>
      <c r="E4" s="16" t="s">
        <v>546</v>
      </c>
      <c r="F4" s="16" t="s">
        <v>546</v>
      </c>
      <c r="G4" s="16">
        <v>25</v>
      </c>
      <c r="H4" s="17" t="s">
        <v>261</v>
      </c>
      <c r="I4" s="16">
        <v>1452948</v>
      </c>
      <c r="J4" s="16"/>
      <c r="K4" s="16" t="s">
        <v>541</v>
      </c>
      <c r="L4" s="16" t="s">
        <v>542</v>
      </c>
    </row>
    <row r="5" spans="1:12">
      <c r="A5" s="18" t="s">
        <v>547</v>
      </c>
      <c r="B5" s="18" t="s">
        <v>46</v>
      </c>
      <c r="C5" s="18" t="s">
        <v>23</v>
      </c>
      <c r="D5" s="18" t="s">
        <v>539</v>
      </c>
      <c r="E5" s="18" t="s">
        <v>548</v>
      </c>
      <c r="F5" s="18" t="s">
        <v>548</v>
      </c>
      <c r="G5" s="18">
        <v>44</v>
      </c>
      <c r="H5" s="17" t="s">
        <v>261</v>
      </c>
      <c r="I5" s="18">
        <v>1258403</v>
      </c>
      <c r="J5" s="18"/>
      <c r="K5" s="18" t="s">
        <v>541</v>
      </c>
      <c r="L5" s="18" t="s">
        <v>542</v>
      </c>
    </row>
    <row r="6" spans="1:12">
      <c r="A6" s="16" t="s">
        <v>549</v>
      </c>
      <c r="B6" s="16" t="s">
        <v>46</v>
      </c>
      <c r="C6" s="16" t="s">
        <v>23</v>
      </c>
      <c r="D6" s="16" t="s">
        <v>539</v>
      </c>
      <c r="E6" s="16" t="s">
        <v>550</v>
      </c>
      <c r="F6" s="16" t="s">
        <v>550</v>
      </c>
      <c r="G6" s="16">
        <v>34</v>
      </c>
      <c r="H6" s="17" t="s">
        <v>261</v>
      </c>
      <c r="I6" s="16">
        <v>449318</v>
      </c>
      <c r="J6" s="16"/>
      <c r="K6" s="16" t="s">
        <v>541</v>
      </c>
      <c r="L6" s="16" t="s">
        <v>542</v>
      </c>
    </row>
    <row r="7" spans="1:12">
      <c r="A7" s="18" t="s">
        <v>551</v>
      </c>
      <c r="B7" s="18" t="s">
        <v>46</v>
      </c>
      <c r="C7" s="18" t="s">
        <v>23</v>
      </c>
      <c r="D7" s="18" t="s">
        <v>539</v>
      </c>
      <c r="E7" s="18" t="s">
        <v>552</v>
      </c>
      <c r="F7" s="18" t="s">
        <v>552</v>
      </c>
      <c r="G7" s="18">
        <v>35</v>
      </c>
      <c r="H7" s="17" t="s">
        <v>261</v>
      </c>
      <c r="I7" s="18">
        <v>912143</v>
      </c>
      <c r="J7" s="18"/>
      <c r="K7" s="18" t="s">
        <v>541</v>
      </c>
      <c r="L7" s="18" t="s">
        <v>542</v>
      </c>
    </row>
    <row r="8" spans="1:12">
      <c r="A8" s="16" t="s">
        <v>553</v>
      </c>
      <c r="B8" s="16" t="s">
        <v>46</v>
      </c>
      <c r="C8" s="16" t="s">
        <v>23</v>
      </c>
      <c r="D8" s="16" t="s">
        <v>539</v>
      </c>
      <c r="E8" s="16" t="s">
        <v>554</v>
      </c>
      <c r="F8" s="16" t="s">
        <v>554</v>
      </c>
      <c r="G8" s="16">
        <v>49</v>
      </c>
      <c r="H8" s="17" t="s">
        <v>261</v>
      </c>
      <c r="I8" s="16">
        <v>256397</v>
      </c>
      <c r="J8" s="16"/>
      <c r="K8" s="16" t="s">
        <v>541</v>
      </c>
      <c r="L8" s="16" t="s">
        <v>542</v>
      </c>
    </row>
    <row r="9" spans="1:12">
      <c r="A9" s="18" t="s">
        <v>555</v>
      </c>
      <c r="B9" s="18" t="s">
        <v>53</v>
      </c>
      <c r="C9" s="18" t="s">
        <v>26</v>
      </c>
      <c r="D9" s="18" t="s">
        <v>539</v>
      </c>
      <c r="E9" s="18" t="s">
        <v>556</v>
      </c>
      <c r="F9" s="18" t="s">
        <v>556</v>
      </c>
      <c r="G9" s="18">
        <v>14</v>
      </c>
      <c r="H9" s="17" t="s">
        <v>261</v>
      </c>
      <c r="I9" s="18">
        <v>571470</v>
      </c>
      <c r="J9" s="18"/>
      <c r="K9" s="18" t="s">
        <v>541</v>
      </c>
      <c r="L9" s="18" t="s">
        <v>542</v>
      </c>
    </row>
    <row r="10" spans="1:12">
      <c r="A10" s="16" t="s">
        <v>557</v>
      </c>
      <c r="B10" s="16" t="s">
        <v>53</v>
      </c>
      <c r="C10" s="16" t="s">
        <v>26</v>
      </c>
      <c r="D10" s="16" t="s">
        <v>539</v>
      </c>
      <c r="E10" s="16" t="s">
        <v>558</v>
      </c>
      <c r="F10" s="16" t="s">
        <v>558</v>
      </c>
      <c r="G10" s="16">
        <v>35</v>
      </c>
      <c r="H10" s="17" t="s">
        <v>261</v>
      </c>
      <c r="I10" s="16">
        <v>434802</v>
      </c>
      <c r="J10" s="16"/>
      <c r="K10" s="16" t="s">
        <v>541</v>
      </c>
      <c r="L10" s="16" t="s">
        <v>542</v>
      </c>
    </row>
    <row r="11" spans="1:12">
      <c r="A11" s="18" t="s">
        <v>559</v>
      </c>
      <c r="B11" s="18" t="s">
        <v>53</v>
      </c>
      <c r="C11" s="18" t="s">
        <v>26</v>
      </c>
      <c r="D11" s="18" t="s">
        <v>539</v>
      </c>
      <c r="E11" s="18" t="s">
        <v>560</v>
      </c>
      <c r="F11" s="18" t="s">
        <v>560</v>
      </c>
      <c r="G11" s="18">
        <v>1</v>
      </c>
      <c r="H11" s="19" t="s">
        <v>295</v>
      </c>
      <c r="I11" s="18">
        <v>0</v>
      </c>
      <c r="J11" s="41" t="s">
        <v>561</v>
      </c>
      <c r="K11" s="18" t="s">
        <v>541</v>
      </c>
      <c r="L11" s="18" t="s">
        <v>542</v>
      </c>
    </row>
    <row r="12" spans="1:12">
      <c r="A12" s="16" t="s">
        <v>562</v>
      </c>
      <c r="B12" s="16" t="s">
        <v>53</v>
      </c>
      <c r="C12" s="16" t="s">
        <v>26</v>
      </c>
      <c r="D12" s="16" t="s">
        <v>539</v>
      </c>
      <c r="E12" s="16" t="s">
        <v>563</v>
      </c>
      <c r="F12" s="16" t="s">
        <v>563</v>
      </c>
      <c r="G12" s="16">
        <v>42</v>
      </c>
      <c r="H12" s="17" t="s">
        <v>261</v>
      </c>
      <c r="I12" s="16">
        <v>1803276</v>
      </c>
      <c r="J12" s="16"/>
      <c r="K12" s="16" t="s">
        <v>541</v>
      </c>
      <c r="L12" s="16" t="s">
        <v>542</v>
      </c>
    </row>
    <row r="13" spans="1:12">
      <c r="A13" s="18" t="s">
        <v>564</v>
      </c>
      <c r="B13" s="18" t="s">
        <v>53</v>
      </c>
      <c r="C13" s="18" t="s">
        <v>26</v>
      </c>
      <c r="D13" s="18" t="s">
        <v>539</v>
      </c>
      <c r="E13" s="18" t="s">
        <v>565</v>
      </c>
      <c r="F13" s="18" t="s">
        <v>565</v>
      </c>
      <c r="G13" s="18">
        <v>23</v>
      </c>
      <c r="H13" s="17" t="s">
        <v>261</v>
      </c>
      <c r="I13" s="18">
        <v>398779</v>
      </c>
      <c r="J13" s="18"/>
      <c r="K13" s="18" t="s">
        <v>541</v>
      </c>
      <c r="L13" s="18" t="s">
        <v>542</v>
      </c>
    </row>
    <row r="14" spans="1:12">
      <c r="A14" s="16" t="s">
        <v>566</v>
      </c>
      <c r="B14" s="16" t="s">
        <v>53</v>
      </c>
      <c r="C14" s="16" t="s">
        <v>26</v>
      </c>
      <c r="D14" s="16" t="s">
        <v>539</v>
      </c>
      <c r="E14" s="16" t="s">
        <v>567</v>
      </c>
      <c r="F14" s="16" t="s">
        <v>567</v>
      </c>
      <c r="G14" s="16">
        <v>33</v>
      </c>
      <c r="H14" s="17" t="s">
        <v>261</v>
      </c>
      <c r="I14" s="16">
        <v>1942559</v>
      </c>
      <c r="J14" s="16"/>
      <c r="K14" s="16" t="s">
        <v>541</v>
      </c>
      <c r="L14" s="16" t="s">
        <v>542</v>
      </c>
    </row>
    <row r="15" spans="1:12">
      <c r="A15" s="18" t="s">
        <v>568</v>
      </c>
      <c r="B15" s="18" t="s">
        <v>53</v>
      </c>
      <c r="C15" s="18" t="s">
        <v>26</v>
      </c>
      <c r="D15" s="18" t="s">
        <v>539</v>
      </c>
      <c r="E15" s="18" t="s">
        <v>569</v>
      </c>
      <c r="F15" s="18" t="s">
        <v>569</v>
      </c>
      <c r="G15" s="18">
        <v>32</v>
      </c>
      <c r="H15" s="17" t="s">
        <v>261</v>
      </c>
      <c r="I15" s="18">
        <v>606171</v>
      </c>
      <c r="J15" s="18"/>
      <c r="K15" s="18" t="s">
        <v>541</v>
      </c>
      <c r="L15" s="18" t="s">
        <v>542</v>
      </c>
    </row>
    <row r="16" spans="1:12">
      <c r="A16" s="16" t="s">
        <v>570</v>
      </c>
      <c r="B16" s="16" t="s">
        <v>58</v>
      </c>
      <c r="C16" s="16" t="s">
        <v>27</v>
      </c>
      <c r="D16" s="16" t="s">
        <v>539</v>
      </c>
      <c r="E16" s="16" t="s">
        <v>571</v>
      </c>
      <c r="F16" s="16" t="s">
        <v>571</v>
      </c>
      <c r="G16" s="16">
        <v>54</v>
      </c>
      <c r="H16" s="17" t="s">
        <v>261</v>
      </c>
      <c r="I16" s="16">
        <v>1692828</v>
      </c>
      <c r="J16" s="16"/>
      <c r="K16" s="16" t="s">
        <v>541</v>
      </c>
      <c r="L16" s="16" t="s">
        <v>542</v>
      </c>
    </row>
    <row r="17" spans="1:12">
      <c r="A17" s="18" t="s">
        <v>572</v>
      </c>
      <c r="B17" s="18" t="s">
        <v>58</v>
      </c>
      <c r="C17" s="18" t="s">
        <v>27</v>
      </c>
      <c r="D17" s="18" t="s">
        <v>539</v>
      </c>
      <c r="E17" s="18" t="s">
        <v>573</v>
      </c>
      <c r="F17" s="18" t="s">
        <v>573</v>
      </c>
      <c r="G17" s="18">
        <v>20</v>
      </c>
      <c r="H17" s="17" t="s">
        <v>261</v>
      </c>
      <c r="I17" s="18">
        <v>672241</v>
      </c>
      <c r="J17" s="18"/>
      <c r="K17" s="18" t="s">
        <v>541</v>
      </c>
      <c r="L17" s="18" t="s">
        <v>542</v>
      </c>
    </row>
    <row r="18" spans="1:12">
      <c r="A18" s="16" t="s">
        <v>574</v>
      </c>
      <c r="B18" s="16" t="s">
        <v>58</v>
      </c>
      <c r="C18" s="16" t="s">
        <v>27</v>
      </c>
      <c r="D18" s="16" t="s">
        <v>539</v>
      </c>
      <c r="E18" s="16" t="s">
        <v>575</v>
      </c>
      <c r="F18" s="16" t="s">
        <v>575</v>
      </c>
      <c r="G18" s="16">
        <v>11</v>
      </c>
      <c r="H18" s="17" t="s">
        <v>261</v>
      </c>
      <c r="I18" s="16">
        <v>1618618</v>
      </c>
      <c r="J18" s="16"/>
      <c r="K18" s="16" t="s">
        <v>541</v>
      </c>
      <c r="L18" s="16" t="s">
        <v>542</v>
      </c>
    </row>
    <row r="19" spans="1:12">
      <c r="A19" s="18" t="s">
        <v>576</v>
      </c>
      <c r="B19" s="18" t="s">
        <v>58</v>
      </c>
      <c r="C19" s="18" t="s">
        <v>27</v>
      </c>
      <c r="D19" s="18" t="s">
        <v>539</v>
      </c>
      <c r="E19" s="18" t="s">
        <v>577</v>
      </c>
      <c r="F19" s="18" t="s">
        <v>577</v>
      </c>
      <c r="G19" s="18">
        <v>40</v>
      </c>
      <c r="H19" s="17" t="s">
        <v>261</v>
      </c>
      <c r="I19" s="18">
        <v>1978094</v>
      </c>
      <c r="J19" s="18"/>
      <c r="K19" s="18" t="s">
        <v>541</v>
      </c>
      <c r="L19" s="18" t="s">
        <v>542</v>
      </c>
    </row>
    <row r="20" spans="1:12">
      <c r="A20" s="16" t="s">
        <v>578</v>
      </c>
      <c r="B20" s="16" t="s">
        <v>58</v>
      </c>
      <c r="C20" s="16" t="s">
        <v>27</v>
      </c>
      <c r="D20" s="16" t="s">
        <v>539</v>
      </c>
      <c r="E20" s="16" t="s">
        <v>579</v>
      </c>
      <c r="F20" s="16" t="s">
        <v>579</v>
      </c>
      <c r="G20" s="16">
        <v>13</v>
      </c>
      <c r="H20" s="34" t="s">
        <v>580</v>
      </c>
      <c r="I20" s="16">
        <v>0</v>
      </c>
      <c r="J20" s="42" t="s">
        <v>581</v>
      </c>
      <c r="K20" s="16" t="s">
        <v>541</v>
      </c>
      <c r="L20" s="16" t="s">
        <v>542</v>
      </c>
    </row>
    <row r="21" spans="1:12">
      <c r="A21" s="18" t="s">
        <v>582</v>
      </c>
      <c r="B21" s="18" t="s">
        <v>58</v>
      </c>
      <c r="C21" s="18" t="s">
        <v>27</v>
      </c>
      <c r="D21" s="18" t="s">
        <v>539</v>
      </c>
      <c r="E21" s="18" t="s">
        <v>583</v>
      </c>
      <c r="F21" s="18" t="s">
        <v>583</v>
      </c>
      <c r="G21" s="18">
        <v>51</v>
      </c>
      <c r="H21" s="17" t="s">
        <v>261</v>
      </c>
      <c r="I21" s="18">
        <v>1857365</v>
      </c>
      <c r="J21" s="18"/>
      <c r="K21" s="18" t="s">
        <v>541</v>
      </c>
      <c r="L21" s="18" t="s">
        <v>542</v>
      </c>
    </row>
    <row r="22" spans="1:12">
      <c r="A22" s="16" t="s">
        <v>584</v>
      </c>
      <c r="B22" s="16" t="s">
        <v>58</v>
      </c>
      <c r="C22" s="16" t="s">
        <v>27</v>
      </c>
      <c r="D22" s="16" t="s">
        <v>539</v>
      </c>
      <c r="E22" s="16" t="s">
        <v>585</v>
      </c>
      <c r="F22" s="16" t="s">
        <v>585</v>
      </c>
      <c r="G22" s="16">
        <v>5</v>
      </c>
      <c r="H22" s="19" t="s">
        <v>295</v>
      </c>
      <c r="I22" s="16">
        <v>0</v>
      </c>
      <c r="J22" s="42" t="s">
        <v>561</v>
      </c>
      <c r="K22" s="16" t="s">
        <v>541</v>
      </c>
      <c r="L22" s="16" t="s">
        <v>542</v>
      </c>
    </row>
    <row r="23" spans="1:12">
      <c r="A23" s="18" t="s">
        <v>586</v>
      </c>
      <c r="B23" s="18" t="s">
        <v>75</v>
      </c>
      <c r="C23" s="18" t="s">
        <v>31</v>
      </c>
      <c r="D23" s="18" t="s">
        <v>539</v>
      </c>
      <c r="E23" s="18" t="s">
        <v>587</v>
      </c>
      <c r="F23" s="18" t="s">
        <v>587</v>
      </c>
      <c r="G23" s="18">
        <v>13</v>
      </c>
      <c r="H23" s="17" t="s">
        <v>261</v>
      </c>
      <c r="I23" s="18">
        <v>929178</v>
      </c>
      <c r="J23" s="18"/>
      <c r="K23" s="18" t="s">
        <v>541</v>
      </c>
      <c r="L23" s="18" t="s">
        <v>542</v>
      </c>
    </row>
    <row r="24" spans="1:12">
      <c r="A24" s="16" t="s">
        <v>588</v>
      </c>
      <c r="B24" s="16" t="s">
        <v>75</v>
      </c>
      <c r="C24" s="16" t="s">
        <v>31</v>
      </c>
      <c r="D24" s="16" t="s">
        <v>539</v>
      </c>
      <c r="E24" s="16" t="s">
        <v>589</v>
      </c>
      <c r="F24" s="16" t="s">
        <v>589</v>
      </c>
      <c r="G24" s="16">
        <v>24</v>
      </c>
      <c r="H24" s="17" t="s">
        <v>261</v>
      </c>
      <c r="I24" s="16">
        <v>478362</v>
      </c>
      <c r="J24" s="16"/>
      <c r="K24" s="16" t="s">
        <v>541</v>
      </c>
      <c r="L24" s="16" t="s">
        <v>542</v>
      </c>
    </row>
    <row r="25" spans="1:12">
      <c r="A25" s="18" t="s">
        <v>590</v>
      </c>
      <c r="B25" s="18" t="s">
        <v>75</v>
      </c>
      <c r="C25" s="18" t="s">
        <v>31</v>
      </c>
      <c r="D25" s="18" t="s">
        <v>539</v>
      </c>
      <c r="E25" s="18" t="s">
        <v>591</v>
      </c>
      <c r="F25" s="18" t="s">
        <v>591</v>
      </c>
      <c r="G25" s="18">
        <v>50</v>
      </c>
      <c r="H25" s="17" t="s">
        <v>261</v>
      </c>
      <c r="I25" s="18">
        <v>1403713</v>
      </c>
      <c r="J25" s="18"/>
      <c r="K25" s="18" t="s">
        <v>541</v>
      </c>
      <c r="L25" s="18" t="s">
        <v>542</v>
      </c>
    </row>
    <row r="26" spans="1:12">
      <c r="A26" s="16" t="s">
        <v>592</v>
      </c>
      <c r="B26" s="16" t="s">
        <v>75</v>
      </c>
      <c r="C26" s="16" t="s">
        <v>31</v>
      </c>
      <c r="D26" s="16" t="s">
        <v>539</v>
      </c>
      <c r="E26" s="16" t="s">
        <v>593</v>
      </c>
      <c r="F26" s="16" t="s">
        <v>593</v>
      </c>
      <c r="G26" s="16">
        <v>1</v>
      </c>
      <c r="H26" s="19" t="s">
        <v>295</v>
      </c>
      <c r="I26" s="16">
        <v>0</v>
      </c>
      <c r="J26" s="42" t="s">
        <v>561</v>
      </c>
      <c r="K26" s="16" t="s">
        <v>541</v>
      </c>
      <c r="L26" s="16" t="s">
        <v>542</v>
      </c>
    </row>
    <row r="27" spans="1:12">
      <c r="A27" s="18" t="s">
        <v>594</v>
      </c>
      <c r="B27" s="18" t="s">
        <v>75</v>
      </c>
      <c r="C27" s="18" t="s">
        <v>31</v>
      </c>
      <c r="D27" s="18" t="s">
        <v>539</v>
      </c>
      <c r="E27" s="18" t="s">
        <v>595</v>
      </c>
      <c r="F27" s="18" t="s">
        <v>595</v>
      </c>
      <c r="G27" s="18">
        <v>14</v>
      </c>
      <c r="H27" s="34" t="s">
        <v>580</v>
      </c>
      <c r="I27" s="18">
        <v>0</v>
      </c>
      <c r="J27" s="41" t="s">
        <v>581</v>
      </c>
      <c r="K27" s="18" t="s">
        <v>541</v>
      </c>
      <c r="L27" s="18" t="s">
        <v>542</v>
      </c>
    </row>
    <row r="28" spans="1:12">
      <c r="A28" s="16" t="s">
        <v>596</v>
      </c>
      <c r="B28" s="16" t="s">
        <v>75</v>
      </c>
      <c r="C28" s="16" t="s">
        <v>31</v>
      </c>
      <c r="D28" s="16" t="s">
        <v>539</v>
      </c>
      <c r="E28" s="16" t="s">
        <v>597</v>
      </c>
      <c r="F28" s="16" t="s">
        <v>597</v>
      </c>
      <c r="G28" s="16">
        <v>16</v>
      </c>
      <c r="H28" s="17" t="s">
        <v>261</v>
      </c>
      <c r="I28" s="16">
        <v>781924</v>
      </c>
      <c r="J28" s="16"/>
      <c r="K28" s="16" t="s">
        <v>541</v>
      </c>
      <c r="L28" s="16" t="s">
        <v>542</v>
      </c>
    </row>
    <row r="29" spans="1:12">
      <c r="A29" s="18" t="s">
        <v>598</v>
      </c>
      <c r="B29" s="18" t="s">
        <v>75</v>
      </c>
      <c r="C29" s="18" t="s">
        <v>31</v>
      </c>
      <c r="D29" s="18" t="s">
        <v>539</v>
      </c>
      <c r="E29" s="18" t="s">
        <v>599</v>
      </c>
      <c r="F29" s="18" t="s">
        <v>599</v>
      </c>
      <c r="G29" s="18">
        <v>36</v>
      </c>
      <c r="H29" s="17" t="s">
        <v>261</v>
      </c>
      <c r="I29" s="18">
        <v>1798489</v>
      </c>
      <c r="J29" s="18"/>
      <c r="K29" s="18" t="s">
        <v>541</v>
      </c>
      <c r="L29" s="18" t="s">
        <v>542</v>
      </c>
    </row>
    <row r="30" spans="1:12">
      <c r="A30" s="16" t="s">
        <v>600</v>
      </c>
      <c r="B30" s="16" t="s">
        <v>71</v>
      </c>
      <c r="C30" s="16" t="s">
        <v>31</v>
      </c>
      <c r="D30" s="16" t="s">
        <v>539</v>
      </c>
      <c r="E30" s="16" t="s">
        <v>601</v>
      </c>
      <c r="F30" s="16" t="s">
        <v>601</v>
      </c>
      <c r="G30" s="16">
        <v>8</v>
      </c>
      <c r="H30" s="17" t="s">
        <v>261</v>
      </c>
      <c r="I30" s="16">
        <v>1450610</v>
      </c>
      <c r="J30" s="16"/>
      <c r="K30" s="16" t="s">
        <v>541</v>
      </c>
      <c r="L30" s="16" t="s">
        <v>542</v>
      </c>
    </row>
    <row r="31" spans="1:12">
      <c r="A31" s="18" t="s">
        <v>602</v>
      </c>
      <c r="B31" s="18" t="s">
        <v>71</v>
      </c>
      <c r="C31" s="18" t="s">
        <v>31</v>
      </c>
      <c r="D31" s="18" t="s">
        <v>539</v>
      </c>
      <c r="E31" s="18" t="s">
        <v>603</v>
      </c>
      <c r="F31" s="18" t="s">
        <v>603</v>
      </c>
      <c r="G31" s="18">
        <v>16</v>
      </c>
      <c r="H31" s="17" t="s">
        <v>261</v>
      </c>
      <c r="I31" s="18">
        <v>604625</v>
      </c>
      <c r="J31" s="18"/>
      <c r="K31" s="18" t="s">
        <v>541</v>
      </c>
      <c r="L31" s="18" t="s">
        <v>542</v>
      </c>
    </row>
    <row r="32" spans="1:12">
      <c r="A32" s="16" t="s">
        <v>604</v>
      </c>
      <c r="B32" s="16" t="s">
        <v>71</v>
      </c>
      <c r="C32" s="16" t="s">
        <v>31</v>
      </c>
      <c r="D32" s="16" t="s">
        <v>539</v>
      </c>
      <c r="E32" s="16" t="s">
        <v>605</v>
      </c>
      <c r="F32" s="16" t="s">
        <v>605</v>
      </c>
      <c r="G32" s="16">
        <v>25</v>
      </c>
      <c r="H32" s="17" t="s">
        <v>261</v>
      </c>
      <c r="I32" s="16">
        <v>640885</v>
      </c>
      <c r="J32" s="16"/>
      <c r="K32" s="16" t="s">
        <v>541</v>
      </c>
      <c r="L32" s="16" t="s">
        <v>542</v>
      </c>
    </row>
    <row r="33" spans="1:12">
      <c r="A33" s="18" t="s">
        <v>606</v>
      </c>
      <c r="B33" s="18" t="s">
        <v>71</v>
      </c>
      <c r="C33" s="18" t="s">
        <v>31</v>
      </c>
      <c r="D33" s="18" t="s">
        <v>539</v>
      </c>
      <c r="E33" s="18" t="s">
        <v>607</v>
      </c>
      <c r="F33" s="18" t="s">
        <v>607</v>
      </c>
      <c r="G33" s="18">
        <v>51</v>
      </c>
      <c r="H33" s="17" t="s">
        <v>261</v>
      </c>
      <c r="I33" s="18">
        <v>1380093</v>
      </c>
      <c r="J33" s="18"/>
      <c r="K33" s="18" t="s">
        <v>541</v>
      </c>
      <c r="L33" s="18" t="s">
        <v>542</v>
      </c>
    </row>
    <row r="34" spans="1:12">
      <c r="A34" s="16" t="s">
        <v>608</v>
      </c>
      <c r="B34" s="16" t="s">
        <v>71</v>
      </c>
      <c r="C34" s="16" t="s">
        <v>31</v>
      </c>
      <c r="D34" s="16" t="s">
        <v>539</v>
      </c>
      <c r="E34" s="16" t="s">
        <v>609</v>
      </c>
      <c r="F34" s="16" t="s">
        <v>609</v>
      </c>
      <c r="G34" s="16">
        <v>11</v>
      </c>
      <c r="H34" s="17" t="s">
        <v>261</v>
      </c>
      <c r="I34" s="16">
        <v>243563</v>
      </c>
      <c r="J34" s="16"/>
      <c r="K34" s="16" t="s">
        <v>541</v>
      </c>
      <c r="L34" s="16" t="s">
        <v>542</v>
      </c>
    </row>
    <row r="35" spans="1:12">
      <c r="A35" s="18" t="s">
        <v>610</v>
      </c>
      <c r="B35" s="18" t="s">
        <v>71</v>
      </c>
      <c r="C35" s="18" t="s">
        <v>31</v>
      </c>
      <c r="D35" s="18" t="s">
        <v>539</v>
      </c>
      <c r="E35" s="18" t="s">
        <v>611</v>
      </c>
      <c r="F35" s="18" t="s">
        <v>611</v>
      </c>
      <c r="G35" s="18">
        <v>8</v>
      </c>
      <c r="H35" s="17" t="s">
        <v>261</v>
      </c>
      <c r="I35" s="18">
        <v>749518</v>
      </c>
      <c r="J35" s="18"/>
      <c r="K35" s="18" t="s">
        <v>541</v>
      </c>
      <c r="L35" s="18" t="s">
        <v>542</v>
      </c>
    </row>
    <row r="36" spans="1:12">
      <c r="A36" s="16" t="s">
        <v>612</v>
      </c>
      <c r="B36" s="16" t="s">
        <v>71</v>
      </c>
      <c r="C36" s="16" t="s">
        <v>31</v>
      </c>
      <c r="D36" s="16" t="s">
        <v>539</v>
      </c>
      <c r="E36" s="16" t="s">
        <v>613</v>
      </c>
      <c r="F36" s="16" t="s">
        <v>613</v>
      </c>
      <c r="G36" s="16">
        <v>36</v>
      </c>
      <c r="H36" s="17" t="s">
        <v>261</v>
      </c>
      <c r="I36" s="16">
        <v>1206957</v>
      </c>
      <c r="J36" s="16"/>
      <c r="K36" s="16" t="s">
        <v>541</v>
      </c>
      <c r="L36" s="16" t="s">
        <v>542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34E68"/>
  </sheetPr>
  <dimension ref="A1:L13"/>
  <sheetViews>
    <sheetView showGridLines="0"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2" customWidth="1"/>
    <col min="2" max="2" width="22" customWidth="1"/>
    <col min="3" max="3" width="14" customWidth="1"/>
    <col min="4" max="4" width="42" customWidth="1"/>
    <col min="5" max="5" width="20" customWidth="1"/>
    <col min="6" max="6" width="28" customWidth="1"/>
    <col min="7" max="7" width="32" customWidth="1"/>
    <col min="8" max="8" width="30" customWidth="1"/>
    <col min="9" max="9" width="22" customWidth="1"/>
    <col min="10" max="11" width="14" customWidth="1"/>
    <col min="12" max="12" width="36" customWidth="1"/>
  </cols>
  <sheetData>
    <row r="1" spans="1:12" ht="27.75" customHeight="1">
      <c r="A1" s="27" t="s">
        <v>614</v>
      </c>
      <c r="B1" s="27" t="s">
        <v>615</v>
      </c>
      <c r="C1" s="27" t="s">
        <v>616</v>
      </c>
      <c r="D1" s="27" t="s">
        <v>617</v>
      </c>
      <c r="E1" s="27" t="s">
        <v>618</v>
      </c>
      <c r="F1" s="27" t="s">
        <v>155</v>
      </c>
      <c r="G1" s="27" t="s">
        <v>154</v>
      </c>
      <c r="H1" s="27" t="s">
        <v>16</v>
      </c>
      <c r="I1" s="27" t="s">
        <v>619</v>
      </c>
      <c r="J1" s="27" t="s">
        <v>620</v>
      </c>
      <c r="K1" s="27" t="s">
        <v>621</v>
      </c>
      <c r="L1" s="27" t="s">
        <v>622</v>
      </c>
    </row>
    <row r="2" spans="1:12">
      <c r="A2" s="16" t="s">
        <v>623</v>
      </c>
      <c r="B2" s="28" t="s">
        <v>624</v>
      </c>
      <c r="C2" s="16" t="s">
        <v>256</v>
      </c>
      <c r="D2" s="16" t="s">
        <v>625</v>
      </c>
      <c r="E2" s="16" t="s">
        <v>626</v>
      </c>
      <c r="F2" s="16" t="s">
        <v>46</v>
      </c>
      <c r="G2" s="16" t="s">
        <v>168</v>
      </c>
      <c r="H2" s="16" t="s">
        <v>23</v>
      </c>
      <c r="I2" s="37" t="s">
        <v>627</v>
      </c>
      <c r="J2" s="16" t="s">
        <v>254</v>
      </c>
      <c r="K2" s="16" t="s">
        <v>105</v>
      </c>
      <c r="L2" s="16" t="s">
        <v>628</v>
      </c>
    </row>
    <row r="3" spans="1:12">
      <c r="A3" s="18" t="s">
        <v>629</v>
      </c>
      <c r="B3" s="28" t="s">
        <v>624</v>
      </c>
      <c r="C3" s="18" t="s">
        <v>256</v>
      </c>
      <c r="D3" s="18" t="s">
        <v>630</v>
      </c>
      <c r="E3" s="18" t="s">
        <v>626</v>
      </c>
      <c r="F3" s="18" t="s">
        <v>46</v>
      </c>
      <c r="G3" s="18" t="s">
        <v>210</v>
      </c>
      <c r="H3" s="18" t="s">
        <v>23</v>
      </c>
      <c r="I3" s="37" t="s">
        <v>627</v>
      </c>
      <c r="J3" s="18" t="s">
        <v>254</v>
      </c>
      <c r="K3" s="18" t="s">
        <v>109</v>
      </c>
      <c r="L3" s="18" t="s">
        <v>631</v>
      </c>
    </row>
    <row r="4" spans="1:12">
      <c r="A4" s="16" t="s">
        <v>632</v>
      </c>
      <c r="B4" s="28" t="s">
        <v>624</v>
      </c>
      <c r="C4" s="16" t="s">
        <v>256</v>
      </c>
      <c r="D4" s="16" t="s">
        <v>633</v>
      </c>
      <c r="E4" s="16" t="s">
        <v>634</v>
      </c>
      <c r="F4" s="16" t="s">
        <v>53</v>
      </c>
      <c r="G4" s="16" t="s">
        <v>174</v>
      </c>
      <c r="H4" s="16" t="s">
        <v>26</v>
      </c>
      <c r="I4" s="37" t="s">
        <v>627</v>
      </c>
      <c r="J4" s="16" t="s">
        <v>263</v>
      </c>
      <c r="K4" s="16" t="s">
        <v>129</v>
      </c>
      <c r="L4" s="16" t="s">
        <v>635</v>
      </c>
    </row>
    <row r="5" spans="1:12">
      <c r="A5" s="18" t="s">
        <v>636</v>
      </c>
      <c r="B5" s="28" t="s">
        <v>624</v>
      </c>
      <c r="C5" s="18" t="s">
        <v>256</v>
      </c>
      <c r="D5" s="18" t="s">
        <v>637</v>
      </c>
      <c r="E5" s="18" t="s">
        <v>634</v>
      </c>
      <c r="F5" s="18" t="s">
        <v>53</v>
      </c>
      <c r="G5" s="18" t="s">
        <v>180</v>
      </c>
      <c r="H5" s="18" t="s">
        <v>26</v>
      </c>
      <c r="I5" s="37" t="s">
        <v>627</v>
      </c>
      <c r="J5" s="18" t="s">
        <v>263</v>
      </c>
      <c r="K5" s="18" t="s">
        <v>129</v>
      </c>
      <c r="L5" s="18" t="s">
        <v>638</v>
      </c>
    </row>
    <row r="6" spans="1:12">
      <c r="A6" s="16" t="s">
        <v>639</v>
      </c>
      <c r="B6" s="28" t="s">
        <v>624</v>
      </c>
      <c r="C6" s="16" t="s">
        <v>256</v>
      </c>
      <c r="D6" s="16" t="s">
        <v>640</v>
      </c>
      <c r="E6" s="16" t="s">
        <v>641</v>
      </c>
      <c r="F6" s="16" t="s">
        <v>58</v>
      </c>
      <c r="G6" s="16" t="s">
        <v>177</v>
      </c>
      <c r="H6" s="16" t="s">
        <v>27</v>
      </c>
      <c r="I6" s="37" t="s">
        <v>627</v>
      </c>
      <c r="J6" s="16" t="s">
        <v>270</v>
      </c>
      <c r="K6" s="16" t="s">
        <v>129</v>
      </c>
      <c r="L6" s="16" t="s">
        <v>628</v>
      </c>
    </row>
    <row r="7" spans="1:12">
      <c r="A7" s="18" t="s">
        <v>642</v>
      </c>
      <c r="B7" s="28" t="s">
        <v>624</v>
      </c>
      <c r="C7" s="18" t="s">
        <v>256</v>
      </c>
      <c r="D7" s="18" t="s">
        <v>643</v>
      </c>
      <c r="E7" s="18" t="s">
        <v>641</v>
      </c>
      <c r="F7" s="18" t="s">
        <v>58</v>
      </c>
      <c r="G7" s="18" t="s">
        <v>224</v>
      </c>
      <c r="H7" s="18" t="s">
        <v>27</v>
      </c>
      <c r="I7" s="37" t="s">
        <v>627</v>
      </c>
      <c r="J7" s="18" t="s">
        <v>270</v>
      </c>
      <c r="K7" s="18" t="s">
        <v>117</v>
      </c>
      <c r="L7" s="18" t="s">
        <v>644</v>
      </c>
    </row>
    <row r="8" spans="1:12">
      <c r="A8" s="16" t="s">
        <v>645</v>
      </c>
      <c r="B8" s="36" t="s">
        <v>275</v>
      </c>
      <c r="C8" s="16" t="s">
        <v>290</v>
      </c>
      <c r="D8" s="16" t="s">
        <v>646</v>
      </c>
      <c r="E8" s="16" t="s">
        <v>647</v>
      </c>
      <c r="F8" s="16" t="s">
        <v>62</v>
      </c>
      <c r="G8" s="16" t="s">
        <v>200</v>
      </c>
      <c r="H8" s="16" t="s">
        <v>30</v>
      </c>
      <c r="I8" s="37" t="s">
        <v>648</v>
      </c>
      <c r="J8" s="16" t="s">
        <v>274</v>
      </c>
      <c r="K8" s="16" t="s">
        <v>129</v>
      </c>
      <c r="L8" s="16" t="s">
        <v>649</v>
      </c>
    </row>
    <row r="9" spans="1:12">
      <c r="A9" s="18" t="s">
        <v>650</v>
      </c>
      <c r="B9" s="24" t="s">
        <v>651</v>
      </c>
      <c r="C9" s="18" t="s">
        <v>301</v>
      </c>
      <c r="D9" s="18" t="s">
        <v>652</v>
      </c>
      <c r="E9" s="18" t="s">
        <v>653</v>
      </c>
      <c r="F9" s="18" t="s">
        <v>232</v>
      </c>
      <c r="G9" s="18" t="s">
        <v>231</v>
      </c>
      <c r="H9" s="18" t="s">
        <v>31</v>
      </c>
      <c r="I9" s="37" t="s">
        <v>654</v>
      </c>
      <c r="J9" s="18" t="s">
        <v>300</v>
      </c>
      <c r="K9" s="18" t="s">
        <v>135</v>
      </c>
      <c r="L9" s="18" t="s">
        <v>655</v>
      </c>
    </row>
    <row r="10" spans="1:12">
      <c r="A10" s="16" t="s">
        <v>656</v>
      </c>
      <c r="B10" s="28" t="s">
        <v>624</v>
      </c>
      <c r="C10" s="16" t="s">
        <v>256</v>
      </c>
      <c r="D10" s="16" t="s">
        <v>657</v>
      </c>
      <c r="E10" s="16" t="s">
        <v>658</v>
      </c>
      <c r="F10" s="16" t="s">
        <v>71</v>
      </c>
      <c r="G10" s="16" t="s">
        <v>203</v>
      </c>
      <c r="H10" s="16" t="s">
        <v>31</v>
      </c>
      <c r="I10" s="37" t="s">
        <v>627</v>
      </c>
      <c r="J10" s="16" t="s">
        <v>285</v>
      </c>
      <c r="K10" s="16" t="s">
        <v>129</v>
      </c>
      <c r="L10" s="16" t="s">
        <v>628</v>
      </c>
    </row>
    <row r="11" spans="1:12">
      <c r="A11" s="18" t="s">
        <v>659</v>
      </c>
      <c r="B11" s="22" t="s">
        <v>290</v>
      </c>
      <c r="C11" s="18" t="s">
        <v>290</v>
      </c>
      <c r="D11" s="18" t="s">
        <v>660</v>
      </c>
      <c r="E11" s="18" t="s">
        <v>661</v>
      </c>
      <c r="F11" s="18" t="s">
        <v>75</v>
      </c>
      <c r="G11" s="18" t="s">
        <v>216</v>
      </c>
      <c r="H11" s="18" t="s">
        <v>31</v>
      </c>
      <c r="I11" s="37" t="s">
        <v>662</v>
      </c>
      <c r="J11" s="18" t="s">
        <v>289</v>
      </c>
      <c r="K11" s="18" t="s">
        <v>205</v>
      </c>
      <c r="L11" s="18" t="s">
        <v>663</v>
      </c>
    </row>
    <row r="12" spans="1:12">
      <c r="A12" s="16" t="s">
        <v>664</v>
      </c>
      <c r="B12" s="28" t="s">
        <v>624</v>
      </c>
      <c r="C12" s="16" t="s">
        <v>256</v>
      </c>
      <c r="D12" s="16" t="s">
        <v>665</v>
      </c>
      <c r="E12" s="16" t="s">
        <v>666</v>
      </c>
      <c r="F12" s="16" t="s">
        <v>67</v>
      </c>
      <c r="G12" s="16" t="s">
        <v>197</v>
      </c>
      <c r="H12" s="16" t="s">
        <v>28</v>
      </c>
      <c r="I12" s="37" t="s">
        <v>627</v>
      </c>
      <c r="J12" s="16" t="s">
        <v>280</v>
      </c>
      <c r="K12" s="16" t="s">
        <v>109</v>
      </c>
      <c r="L12" s="16" t="s">
        <v>667</v>
      </c>
    </row>
    <row r="13" spans="1:12">
      <c r="A13" s="18" t="s">
        <v>668</v>
      </c>
      <c r="B13" s="29" t="s">
        <v>46</v>
      </c>
      <c r="C13" s="18" t="s">
        <v>669</v>
      </c>
      <c r="D13" s="18" t="s">
        <v>46</v>
      </c>
      <c r="E13" s="18"/>
      <c r="F13" s="18" t="s">
        <v>307</v>
      </c>
      <c r="G13" s="18" t="s">
        <v>183</v>
      </c>
      <c r="H13" s="18" t="s">
        <v>29</v>
      </c>
      <c r="I13" s="37" t="s">
        <v>670</v>
      </c>
      <c r="J13" s="18" t="s">
        <v>306</v>
      </c>
      <c r="K13" s="18" t="s">
        <v>129</v>
      </c>
      <c r="L13" s="18" t="s">
        <v>671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2026-05-25T16:04:28Z</dcterms:created>
  <dcterms:modified xsi:type="dcterms:W3CDTF">2026-05-27T14:51:16Z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2026-05-26T12:29:48Z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487f75bd-82f8-4a10-810b-ec255ff0138f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